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630" yWindow="525" windowWidth="27495" windowHeight="14505" firstSheet="47" activeTab="52"/>
  </bookViews>
  <sheets>
    <sheet name="01_SYSTEM_SETTINGS" sheetId="1" r:id="rId1"/>
    <sheet name="02_USERS_ROLES" sheetId="2" r:id="rId2"/>
    <sheet name="03_AUDIT_LOG" sheetId="3" r:id="rId3"/>
    <sheet name="04_ENTITY_MANAGER" sheetId="4" r:id="rId4"/>
    <sheet name="05_DASHBOARD_HOME" sheetId="5" r:id="rId5"/>
    <sheet name="10_CHART_OF_ACCOUNTS" sheetId="6" r:id="rId6"/>
    <sheet name="11_JOURNAL_ENTRIES" sheetId="7" r:id="rId7"/>
    <sheet name="12_GENERAL_LEDGER" sheetId="8" r:id="rId8"/>
    <sheet name="13_TRIAL_BALANCE" sheetId="9" r:id="rId9"/>
    <sheet name="14_BALANCE_SHEET" sheetId="10" r:id="rId10"/>
    <sheet name="15_INCOME_STATEMENT" sheetId="11" r:id="rId11"/>
    <sheet name="16_CASH_FLOW" sheetId="12" r:id="rId12"/>
    <sheet name="17_BUDGETS" sheetId="13" r:id="rId13"/>
    <sheet name="18_BUDGET_VS_ACTUAL" sheetId="14" r:id="rId14"/>
    <sheet name="20_BANK_ACCOUNTS" sheetId="15" r:id="rId15"/>
    <sheet name="21_BANK_TRANSACTIONS" sheetId="16" r:id="rId16"/>
    <sheet name="22_RECONCILIATION" sheetId="17" r:id="rId17"/>
    <sheet name="23_CREDIT_CARDS" sheetId="18" r:id="rId18"/>
    <sheet name="30_CUSTOMERS" sheetId="19" r:id="rId19"/>
    <sheet name="31_INVOICES" sheetId="20" r:id="rId20"/>
    <sheet name="32_RECEIVABLES" sheetId="21" r:id="rId21"/>
    <sheet name="33_AGING_REPORT" sheetId="22" r:id="rId22"/>
    <sheet name="40_VENDORS" sheetId="23" r:id="rId23"/>
    <sheet name="41_BILLS" sheetId="24" r:id="rId24"/>
    <sheet name="42_PAYABLES" sheetId="25" r:id="rId25"/>
    <sheet name="43_AGING_PAYABLES" sheetId="26" r:id="rId26"/>
    <sheet name="50_PROPERTY_MASTER" sheetId="27" r:id="rId27"/>
    <sheet name="51_ACQUISITIONS" sheetId="28" r:id="rId28"/>
    <sheet name="52_REHAB_ENGINE" sheetId="29" r:id="rId29"/>
    <sheet name="53_DRAWS" sheetId="30" r:id="rId30"/>
    <sheet name="54_HOLDING_COSTS" sheetId="31" r:id="rId31"/>
    <sheet name="55_RENTS" sheetId="32" r:id="rId32"/>
    <sheet name="56_CAPEX" sheetId="33" r:id="rId33"/>
    <sheet name="57_DISPOSITIONS" sheetId="34" r:id="rId34"/>
    <sheet name="60_WHOLESALE_ANALYZER" sheetId="35" r:id="rId35"/>
    <sheet name="61_FLIP_ANALYZER" sheetId="36" r:id="rId36"/>
    <sheet name="62_BRRR_ANALYZER" sheetId="37" r:id="rId37"/>
    <sheet name="63_DEVELOPMENT_ANALYZER" sheetId="38" r:id="rId38"/>
    <sheet name="64_LAND_ANALYZER" sheetId="39" r:id="rId39"/>
    <sheet name="70_INVESTORS" sheetId="40" r:id="rId40"/>
    <sheet name="71_CAPITAL_STACK" sheetId="41" r:id="rId41"/>
    <sheet name="72_WATERFALL" sheetId="42" r:id="rId42"/>
    <sheet name="73_DISTRIBUTIONS" sheetId="43" r:id="rId43"/>
    <sheet name="74_INVESTOR_REPORTS" sheetId="44" r:id="rId44"/>
    <sheet name="80_AI_DEAL_SCORING" sheetId="45" r:id="rId45"/>
    <sheet name="81_AI_FORECASTING" sheetId="46" r:id="rId46"/>
    <sheet name="82_AI_ANOMALIES" sheetId="47" r:id="rId47"/>
    <sheet name="83_AI_ASSISTANT" sheetId="48" r:id="rId48"/>
    <sheet name="90_KPI_DASHBOARD" sheetId="49" r:id="rId49"/>
    <sheet name="91_CASH_FORECAST" sheetId="50" r:id="rId50"/>
    <sheet name="92_NET_WORTH_TRACKER" sheetId="51" r:id="rId51"/>
    <sheet name="93_PORTFOLIO_ANALYTICS" sheetId="52" r:id="rId52"/>
    <sheet name="94_EXECUTIVE_REPORT" sheetId="53" r:id="rId53"/>
  </sheets>
  <calcPr calcId="145621"/>
</workbook>
</file>

<file path=xl/calcChain.xml><?xml version="1.0" encoding="utf-8"?>
<calcChain xmlns="http://schemas.openxmlformats.org/spreadsheetml/2006/main">
  <c r="B12" i="52" l="1"/>
  <c r="D5" i="52"/>
  <c r="E4" i="51"/>
  <c r="G4" i="51" s="1"/>
  <c r="E15" i="50"/>
  <c r="E14" i="50"/>
  <c r="E13" i="50"/>
  <c r="E12" i="50"/>
  <c r="E11" i="50"/>
  <c r="E10" i="50"/>
  <c r="E9" i="50"/>
  <c r="E8" i="50"/>
  <c r="E7" i="50"/>
  <c r="E6" i="50"/>
  <c r="E5" i="50"/>
  <c r="F4" i="50"/>
  <c r="B5" i="50" s="1"/>
  <c r="F5" i="50" s="1"/>
  <c r="B6" i="50" s="1"/>
  <c r="F6" i="50" s="1"/>
  <c r="B7" i="50" s="1"/>
  <c r="F7" i="50" s="1"/>
  <c r="B8" i="50" s="1"/>
  <c r="F8" i="50" s="1"/>
  <c r="B9" i="50" s="1"/>
  <c r="F9" i="50" s="1"/>
  <c r="B10" i="50" s="1"/>
  <c r="F10" i="50" s="1"/>
  <c r="B11" i="50" s="1"/>
  <c r="F11" i="50" s="1"/>
  <c r="B12" i="50" s="1"/>
  <c r="F12" i="50" s="1"/>
  <c r="B13" i="50" s="1"/>
  <c r="F13" i="50" s="1"/>
  <c r="B14" i="50" s="1"/>
  <c r="F14" i="50" s="1"/>
  <c r="B15" i="50" s="1"/>
  <c r="F15" i="50" s="1"/>
  <c r="E4" i="50"/>
  <c r="F7" i="47"/>
  <c r="H7" i="47" s="1"/>
  <c r="G6" i="47"/>
  <c r="F6" i="47"/>
  <c r="H6" i="47" s="1"/>
  <c r="G16" i="46"/>
  <c r="G15" i="46"/>
  <c r="G14" i="46"/>
  <c r="G13" i="46"/>
  <c r="G12" i="46"/>
  <c r="G11" i="46"/>
  <c r="G10" i="46"/>
  <c r="G9" i="46"/>
  <c r="G8" i="46"/>
  <c r="G7" i="46"/>
  <c r="G6" i="46"/>
  <c r="G5" i="46"/>
  <c r="G4" i="46"/>
  <c r="H4" i="46" s="1"/>
  <c r="H6" i="45"/>
  <c r="K6" i="45" s="1"/>
  <c r="L6" i="45" s="1"/>
  <c r="M6" i="45" s="1"/>
  <c r="G6" i="45"/>
  <c r="D11" i="42"/>
  <c r="D12" i="42" s="1"/>
  <c r="I7" i="41"/>
  <c r="D7" i="41"/>
  <c r="J4" i="41"/>
  <c r="G4" i="41"/>
  <c r="D17" i="39"/>
  <c r="D16" i="39"/>
  <c r="D12" i="39"/>
  <c r="D13" i="39" s="1"/>
  <c r="D15" i="39" s="1"/>
  <c r="D17" i="38"/>
  <c r="D19" i="38" s="1"/>
  <c r="D21" i="38" s="1"/>
  <c r="D13" i="38"/>
  <c r="D14" i="38" s="1"/>
  <c r="D15" i="38" s="1"/>
  <c r="D29" i="37"/>
  <c r="D20" i="37"/>
  <c r="D18" i="37"/>
  <c r="D19" i="37" s="1"/>
  <c r="D17" i="37"/>
  <c r="D25" i="37" s="1"/>
  <c r="D19" i="36"/>
  <c r="D18" i="36"/>
  <c r="D17" i="36"/>
  <c r="D16" i="36"/>
  <c r="D20" i="36" s="1"/>
  <c r="D19" i="35"/>
  <c r="D16" i="35"/>
  <c r="D17" i="35" s="1"/>
  <c r="D18" i="35" s="1"/>
  <c r="D15" i="35"/>
  <c r="D14" i="35"/>
  <c r="D13" i="35"/>
  <c r="J5" i="33"/>
  <c r="J4" i="33"/>
  <c r="H4" i="33"/>
  <c r="W4" i="32"/>
  <c r="V4" i="32"/>
  <c r="J4" i="31"/>
  <c r="K4" i="31" s="1"/>
  <c r="L4" i="30"/>
  <c r="E35" i="29"/>
  <c r="F33" i="29"/>
  <c r="D32" i="29"/>
  <c r="D31" i="29"/>
  <c r="F31" i="29" s="1"/>
  <c r="F30" i="29"/>
  <c r="F29" i="29"/>
  <c r="F28" i="29"/>
  <c r="F27" i="29"/>
  <c r="F26" i="29"/>
  <c r="F25" i="29"/>
  <c r="F24" i="29"/>
  <c r="F23" i="29"/>
  <c r="F22" i="29"/>
  <c r="F21" i="29"/>
  <c r="F20" i="29"/>
  <c r="F19" i="29"/>
  <c r="F18" i="29"/>
  <c r="F17" i="29"/>
  <c r="F16" i="29"/>
  <c r="F15" i="29"/>
  <c r="F14" i="29"/>
  <c r="F13" i="29"/>
  <c r="F12" i="29"/>
  <c r="F11" i="29"/>
  <c r="F10" i="29"/>
  <c r="F9" i="29"/>
  <c r="F8" i="29"/>
  <c r="F7" i="29"/>
  <c r="F6" i="29"/>
  <c r="F5" i="29"/>
  <c r="F4" i="29"/>
  <c r="J4" i="28"/>
  <c r="K4" i="28" s="1"/>
  <c r="X4" i="27"/>
  <c r="U4" i="27"/>
  <c r="W4" i="27" s="1"/>
  <c r="P4" i="27"/>
  <c r="F8" i="26"/>
  <c r="E8" i="26"/>
  <c r="D8" i="26"/>
  <c r="C8" i="26"/>
  <c r="B8" i="26"/>
  <c r="G6" i="26"/>
  <c r="G5" i="26"/>
  <c r="G4" i="26"/>
  <c r="G6" i="25"/>
  <c r="G5" i="25"/>
  <c r="J4" i="25"/>
  <c r="G4" i="25"/>
  <c r="F6" i="22"/>
  <c r="E6" i="22"/>
  <c r="D6" i="22"/>
  <c r="C6" i="22"/>
  <c r="B6" i="22"/>
  <c r="G4" i="22"/>
  <c r="G6" i="22" s="1"/>
  <c r="J4" i="21"/>
  <c r="G4" i="21"/>
  <c r="I4" i="20"/>
  <c r="D10" i="17"/>
  <c r="D13" i="17" s="1"/>
  <c r="D7" i="17"/>
  <c r="F11" i="14"/>
  <c r="G11" i="14" s="1"/>
  <c r="E11" i="14"/>
  <c r="F10" i="14"/>
  <c r="E10" i="14"/>
  <c r="F9" i="14"/>
  <c r="E9" i="14"/>
  <c r="G9" i="14" s="1"/>
  <c r="F8" i="14"/>
  <c r="E8" i="14"/>
  <c r="G8" i="14" s="1"/>
  <c r="F7" i="14"/>
  <c r="E7" i="14"/>
  <c r="F6" i="14"/>
  <c r="E6" i="14"/>
  <c r="G6" i="14" s="1"/>
  <c r="F5" i="14"/>
  <c r="E5" i="14"/>
  <c r="G5" i="14" s="1"/>
  <c r="F4" i="14"/>
  <c r="E4" i="14"/>
  <c r="G4" i="14" s="1"/>
  <c r="P17" i="13"/>
  <c r="P16" i="13"/>
  <c r="P15" i="13"/>
  <c r="P14" i="13"/>
  <c r="P13" i="13"/>
  <c r="P12" i="13"/>
  <c r="P11" i="13"/>
  <c r="P10" i="13"/>
  <c r="P9" i="13"/>
  <c r="P8" i="13"/>
  <c r="P7" i="13"/>
  <c r="P6" i="13"/>
  <c r="P5" i="13"/>
  <c r="P4" i="13"/>
  <c r="C21" i="12"/>
  <c r="C14" i="12"/>
  <c r="C8" i="12"/>
  <c r="C28" i="11"/>
  <c r="C16" i="11"/>
  <c r="C8" i="11"/>
  <c r="C18" i="11" s="1"/>
  <c r="C30" i="10"/>
  <c r="C25" i="10"/>
  <c r="C31" i="10" s="1"/>
  <c r="C24" i="10"/>
  <c r="C21" i="10"/>
  <c r="C13" i="10"/>
  <c r="C8" i="10"/>
  <c r="C14" i="10" s="1"/>
  <c r="C33" i="10" s="1"/>
  <c r="E14" i="9"/>
  <c r="D14" i="9"/>
  <c r="E13" i="9"/>
  <c r="D13" i="9"/>
  <c r="E12" i="9"/>
  <c r="D12" i="9"/>
  <c r="E11" i="9"/>
  <c r="D11" i="9"/>
  <c r="E10" i="9"/>
  <c r="D10" i="9"/>
  <c r="E9" i="9"/>
  <c r="D9" i="9"/>
  <c r="E8" i="9"/>
  <c r="D8" i="9"/>
  <c r="E7" i="9"/>
  <c r="D7" i="9"/>
  <c r="E6" i="9"/>
  <c r="D6" i="9"/>
  <c r="E5" i="9"/>
  <c r="D5" i="9"/>
  <c r="E4" i="9"/>
  <c r="D4" i="9"/>
  <c r="D16" i="9" s="1"/>
  <c r="I13" i="7"/>
  <c r="F13" i="7"/>
  <c r="G7" i="47" l="1"/>
  <c r="E16" i="9"/>
  <c r="D17" i="9" s="1"/>
  <c r="G10" i="14"/>
  <c r="G8" i="26"/>
  <c r="D35" i="29"/>
  <c r="F35" i="29" s="1"/>
  <c r="D21" i="37"/>
  <c r="D22" i="37" s="1"/>
  <c r="C17" i="11"/>
  <c r="C29" i="11" s="1"/>
  <c r="C35" i="11" s="1"/>
  <c r="D15" i="17"/>
  <c r="D30" i="37"/>
  <c r="C24" i="12"/>
  <c r="C26" i="12" s="1"/>
  <c r="F14" i="7"/>
  <c r="G7" i="14"/>
  <c r="D21" i="36"/>
  <c r="D24" i="36" s="1"/>
  <c r="D36" i="29"/>
  <c r="D20" i="38"/>
  <c r="D16" i="38"/>
  <c r="D13" i="42"/>
  <c r="D14" i="42" s="1"/>
  <c r="D5" i="46"/>
  <c r="H5" i="46" s="1"/>
  <c r="I4" i="46"/>
  <c r="D18" i="38"/>
  <c r="D14" i="39"/>
  <c r="D18" i="39" s="1"/>
  <c r="F32" i="29"/>
  <c r="V4" i="27"/>
  <c r="D28" i="37" l="1"/>
  <c r="D23" i="37"/>
  <c r="D24" i="37" s="1"/>
  <c r="D26" i="37" s="1"/>
  <c r="D27" i="37"/>
  <c r="D31" i="37"/>
  <c r="D16" i="42"/>
  <c r="D19" i="42" s="1"/>
  <c r="D15" i="42"/>
  <c r="D6" i="46"/>
  <c r="H6" i="46" s="1"/>
  <c r="I5" i="46"/>
  <c r="D18" i="42"/>
  <c r="D20" i="42" s="1"/>
  <c r="D22" i="36"/>
  <c r="D23" i="36" s="1"/>
  <c r="D7" i="46" l="1"/>
  <c r="H7" i="46" s="1"/>
  <c r="I6" i="46"/>
  <c r="D8" i="46" l="1"/>
  <c r="H8" i="46" s="1"/>
  <c r="I7" i="46"/>
  <c r="D9" i="46" l="1"/>
  <c r="H9" i="46" s="1"/>
  <c r="I8" i="46"/>
  <c r="D10" i="46" l="1"/>
  <c r="H10" i="46" s="1"/>
  <c r="I9" i="46"/>
  <c r="D11" i="46" l="1"/>
  <c r="H11" i="46" s="1"/>
  <c r="I10" i="46"/>
  <c r="D12" i="46" l="1"/>
  <c r="H12" i="46" s="1"/>
  <c r="I11" i="46"/>
  <c r="D13" i="46" l="1"/>
  <c r="H13" i="46" s="1"/>
  <c r="I12" i="46"/>
  <c r="D14" i="46" l="1"/>
  <c r="H14" i="46" s="1"/>
  <c r="I13" i="46"/>
  <c r="D15" i="46" l="1"/>
  <c r="H15" i="46" s="1"/>
  <c r="I14" i="46"/>
  <c r="D16" i="46" l="1"/>
  <c r="H16" i="46" s="1"/>
  <c r="I16" i="46" s="1"/>
  <c r="I15" i="46"/>
</calcChain>
</file>

<file path=xl/sharedStrings.xml><?xml version="1.0" encoding="utf-8"?>
<sst xmlns="http://schemas.openxmlformats.org/spreadsheetml/2006/main" count="2523" uniqueCount="1400">
  <si>
    <t>DYNASTY ACCOUNTING OS v1.0 — SYSTEM SETTINGS</t>
  </si>
  <si>
    <t>Setting</t>
  </si>
  <si>
    <t>Value</t>
  </si>
  <si>
    <t>Notes</t>
  </si>
  <si>
    <t>Company Name</t>
  </si>
  <si>
    <t>Shylow Thompson LLC</t>
  </si>
  <si>
    <t>Primary Entity</t>
  </si>
  <si>
    <t>Fiscal Year Start</t>
  </si>
  <si>
    <t>01/01/2026</t>
  </si>
  <si>
    <t>Fiscal Year End</t>
  </si>
  <si>
    <t>12/31/2026</t>
  </si>
  <si>
    <t>Accounting Method</t>
  </si>
  <si>
    <t>Accrual</t>
  </si>
  <si>
    <t>GAAP standard</t>
  </si>
  <si>
    <t>Base Currency</t>
  </si>
  <si>
    <t>USD</t>
  </si>
  <si>
    <t>Version</t>
  </si>
  <si>
    <t>1.0</t>
  </si>
  <si>
    <t>Build Date</t>
  </si>
  <si>
    <t>05/29/2026</t>
  </si>
  <si>
    <t>Next Review</t>
  </si>
  <si>
    <t>Tax ID</t>
  </si>
  <si>
    <t>[ENTER EIN]</t>
  </si>
  <si>
    <t>Federal EIN</t>
  </si>
  <si>
    <t>State</t>
  </si>
  <si>
    <t>Missouri</t>
  </si>
  <si>
    <t>Chart of Accounts Version</t>
  </si>
  <si>
    <t>RE-COA-2026</t>
  </si>
  <si>
    <t>DYNASTY ACCOUNTING OS — USERS &amp; ROLES</t>
  </si>
  <si>
    <t>User_ID</t>
  </si>
  <si>
    <t>Full_Name</t>
  </si>
  <si>
    <t>Role</t>
  </si>
  <si>
    <t>Entity_Access</t>
  </si>
  <si>
    <t>Permissions</t>
  </si>
  <si>
    <t>Last_Login</t>
  </si>
  <si>
    <t>Status</t>
  </si>
  <si>
    <t>U001</t>
  </si>
  <si>
    <t>Shylow Thompson</t>
  </si>
  <si>
    <t>CEO / Owner</t>
  </si>
  <si>
    <t>All Entities</t>
  </si>
  <si>
    <t>Full Access</t>
  </si>
  <si>
    <t>Active</t>
  </si>
  <si>
    <t>Primary user</t>
  </si>
  <si>
    <t>U002</t>
  </si>
  <si>
    <t>Accountant</t>
  </si>
  <si>
    <t>Controller</t>
  </si>
  <si>
    <t>Read/Write</t>
  </si>
  <si>
    <t>U003</t>
  </si>
  <si>
    <t>Investor</t>
  </si>
  <si>
    <t>Investor Portal</t>
  </si>
  <si>
    <t>Assigned Deals Only</t>
  </si>
  <si>
    <t>Read Only</t>
  </si>
  <si>
    <t>DYNASTY ACCOUNTING OS — AUDIT LOG</t>
  </si>
  <si>
    <t>Log_ID</t>
  </si>
  <si>
    <t>Timestamp</t>
  </si>
  <si>
    <t>User_Name</t>
  </si>
  <si>
    <t>Sheet_Modified</t>
  </si>
  <si>
    <t>Cell_Reference</t>
  </si>
  <si>
    <t>Old_Value</t>
  </si>
  <si>
    <t>New_Value</t>
  </si>
  <si>
    <t>Action_Type</t>
  </si>
  <si>
    <t>AL001</t>
  </si>
  <si>
    <t>05/29/2026 09:00</t>
  </si>
  <si>
    <t>01_SYSTEM_SETTINGS</t>
  </si>
  <si>
    <t>B4</t>
  </si>
  <si>
    <t>INITIALIZE</t>
  </si>
  <si>
    <t>System initialization</t>
  </si>
  <si>
    <t>AL002</t>
  </si>
  <si>
    <t>05/29/2026 09:01</t>
  </si>
  <si>
    <t>50_PROPERTY_MASTER</t>
  </si>
  <si>
    <t>502 Buckley</t>
  </si>
  <si>
    <t>CREATE</t>
  </si>
  <si>
    <t>Added 502 Buckley property</t>
  </si>
  <si>
    <t>DYNASTY ACCOUNTING OS — ENTITY MANAGER</t>
  </si>
  <si>
    <t>Entity_ID</t>
  </si>
  <si>
    <t>Entity_Name</t>
  </si>
  <si>
    <t>Entity_Type</t>
  </si>
  <si>
    <t>EIN</t>
  </si>
  <si>
    <t>Formation_Date</t>
  </si>
  <si>
    <t>Primary_Contact</t>
  </si>
  <si>
    <t>E001</t>
  </si>
  <si>
    <t>Operating LLC</t>
  </si>
  <si>
    <t>[EIN]</t>
  </si>
  <si>
    <t>CEO</t>
  </si>
  <si>
    <t>Primary operating entity</t>
  </si>
  <si>
    <t>E002</t>
  </si>
  <si>
    <t>Dynasty OS</t>
  </si>
  <si>
    <t>Tech/SaaS LLC</t>
  </si>
  <si>
    <t>Software operations</t>
  </si>
  <si>
    <t>E003</t>
  </si>
  <si>
    <t>KhakiSol</t>
  </si>
  <si>
    <t>Brand/Creative LLC</t>
  </si>
  <si>
    <t>Creative &amp; brand</t>
  </si>
  <si>
    <t>E004</t>
  </si>
  <si>
    <t>502 Buckley LLC</t>
  </si>
  <si>
    <t>Property LLC</t>
  </si>
  <si>
    <t>Manager</t>
  </si>
  <si>
    <t>Property holding entity</t>
  </si>
  <si>
    <t>DYNASTY ACCOUNTING OS — COMMAND CENTER</t>
  </si>
  <si>
    <t>QUICK NAVIGATION</t>
  </si>
  <si>
    <t>Section</t>
  </si>
  <si>
    <t>Sheet Name</t>
  </si>
  <si>
    <t>Description</t>
  </si>
  <si>
    <t>Tab Color</t>
  </si>
  <si>
    <t>SYSTEM</t>
  </si>
  <si>
    <t>Global configuration</t>
  </si>
  <si>
    <t>Dark Gray</t>
  </si>
  <si>
    <t>02_USERS_ROLES</t>
  </si>
  <si>
    <t>User access management</t>
  </si>
  <si>
    <t>03_AUDIT_LOG</t>
  </si>
  <si>
    <t>Change history</t>
  </si>
  <si>
    <t>04_ENTITY_MANAGER</t>
  </si>
  <si>
    <t>Business entities</t>
  </si>
  <si>
    <t>05_DASHBOARD_HOME</t>
  </si>
  <si>
    <t>This navigation screen</t>
  </si>
  <si>
    <t>ACCOUNTING</t>
  </si>
  <si>
    <t>10_CHART_OF_ACCOUNTS</t>
  </si>
  <si>
    <t>Full COA 1000-6999</t>
  </si>
  <si>
    <t>Dark Blue</t>
  </si>
  <si>
    <t>11_JOURNAL_ENTRIES</t>
  </si>
  <si>
    <t>Double-entry transactions</t>
  </si>
  <si>
    <t>12_GENERAL_LEDGER</t>
  </si>
  <si>
    <t>Account activity detail</t>
  </si>
  <si>
    <t>13_TRIAL_BALANCE</t>
  </si>
  <si>
    <t>Debit/credit balance check</t>
  </si>
  <si>
    <t>14_BALANCE_SHEET</t>
  </si>
  <si>
    <t>Assets = Liabilities + Equity</t>
  </si>
  <si>
    <t>15_INCOME_STATEMENT</t>
  </si>
  <si>
    <t>Revenue - Expenses = Net Income</t>
  </si>
  <si>
    <t>16_CASH_FLOW</t>
  </si>
  <si>
    <t>Operating/Investing/Financing</t>
  </si>
  <si>
    <t>17_BUDGETS</t>
  </si>
  <si>
    <t>Monthly budget by account</t>
  </si>
  <si>
    <t>18_BUDGET_VS_ACTUAL</t>
  </si>
  <si>
    <t>Variance analysis</t>
  </si>
  <si>
    <t>BANKING</t>
  </si>
  <si>
    <t>20_BANK_ACCOUNTS</t>
  </si>
  <si>
    <t>Account registry</t>
  </si>
  <si>
    <t>Teal</t>
  </si>
  <si>
    <t>21_BANK_TRANSACTIONS</t>
  </si>
  <si>
    <t>Transaction feed</t>
  </si>
  <si>
    <t>22_RECONCILIATION</t>
  </si>
  <si>
    <t>Bank rec</t>
  </si>
  <si>
    <t>23_CREDIT_CARDS</t>
  </si>
  <si>
    <t>Card transactions</t>
  </si>
  <si>
    <t>AR/AP</t>
  </si>
  <si>
    <t>30_CUSTOMERS</t>
  </si>
  <si>
    <t>Customer database</t>
  </si>
  <si>
    <t>Orange</t>
  </si>
  <si>
    <t>31_INVOICES</t>
  </si>
  <si>
    <t>Invoice management</t>
  </si>
  <si>
    <t>32_RECEIVABLES</t>
  </si>
  <si>
    <t>AR tracking</t>
  </si>
  <si>
    <t>33_AGING_REPORT</t>
  </si>
  <si>
    <t>AR aging buckets</t>
  </si>
  <si>
    <t>40_VENDORS</t>
  </si>
  <si>
    <t>Vendor database</t>
  </si>
  <si>
    <t>41_BILLS</t>
  </si>
  <si>
    <t>Bill management</t>
  </si>
  <si>
    <t>42_PAYABLES</t>
  </si>
  <si>
    <t>AP tracking</t>
  </si>
  <si>
    <t>43_AGING_PAYABLES</t>
  </si>
  <si>
    <t>AP aging buckets</t>
  </si>
  <si>
    <t>REAL ESTATE</t>
  </si>
  <si>
    <t>Property portfolio</t>
  </si>
  <si>
    <t>Green</t>
  </si>
  <si>
    <t>51_ACQUISITIONS</t>
  </si>
  <si>
    <t>Deal pipeline</t>
  </si>
  <si>
    <t>52_REHAB_ENGINE</t>
  </si>
  <si>
    <t>502 Buckley rehab tracker</t>
  </si>
  <si>
    <t>53_DRAWS</t>
  </si>
  <si>
    <t>Construction draws</t>
  </si>
  <si>
    <t>54_HOLDING_COSTS</t>
  </si>
  <si>
    <t>Monthly holding</t>
  </si>
  <si>
    <t>55_RENTS</t>
  </si>
  <si>
    <t>Rent roll</t>
  </si>
  <si>
    <t>56_CAPEX</t>
  </si>
  <si>
    <t>Capital expenditures</t>
  </si>
  <si>
    <t>57_DISPOSITIONS</t>
  </si>
  <si>
    <t>Property sales</t>
  </si>
  <si>
    <t>DEAL ANALYZER</t>
  </si>
  <si>
    <t>60_WHOLESALE_ANALYZER</t>
  </si>
  <si>
    <t>Wholesale calculator</t>
  </si>
  <si>
    <t>Purple</t>
  </si>
  <si>
    <t>61_FLIP_ANALYZER</t>
  </si>
  <si>
    <t>Fix &amp; flip calculator</t>
  </si>
  <si>
    <t>62_BRRR_ANALYZER</t>
  </si>
  <si>
    <t>BRRR calculator</t>
  </si>
  <si>
    <t>63_DEVELOPMENT_ANALYZER</t>
  </si>
  <si>
    <t>Ground-up development</t>
  </si>
  <si>
    <t>64_LAND_ANALYZER</t>
  </si>
  <si>
    <t>Land deal calculator</t>
  </si>
  <si>
    <t>INVESTORS</t>
  </si>
  <si>
    <t>70_INVESTORS</t>
  </si>
  <si>
    <t>Investor registry</t>
  </si>
  <si>
    <t>Dark Red</t>
  </si>
  <si>
    <t>71_CAPITAL_STACK</t>
  </si>
  <si>
    <t>Capital structure</t>
  </si>
  <si>
    <t>72_WATERFALL</t>
  </si>
  <si>
    <t>Distribution waterfall</t>
  </si>
  <si>
    <t>73_DISTRIBUTIONS</t>
  </si>
  <si>
    <t>Distribution history</t>
  </si>
  <si>
    <t>74_INVESTOR_REPORTS</t>
  </si>
  <si>
    <t>Investor summaries</t>
  </si>
  <si>
    <t>AI</t>
  </si>
  <si>
    <t>80_AI_DEAL_SCORING</t>
  </si>
  <si>
    <t>Deal scoring engine</t>
  </si>
  <si>
    <t>Light Blue</t>
  </si>
  <si>
    <t>81_AI_FORECASTING</t>
  </si>
  <si>
    <t>13-week cash forecast</t>
  </si>
  <si>
    <t>82_AI_ANOMALIES</t>
  </si>
  <si>
    <t>Expense anomaly detection</t>
  </si>
  <si>
    <t>83_AI_ASSISTANT</t>
  </si>
  <si>
    <t>Trooper Accountant AI</t>
  </si>
  <si>
    <t>EXECUTIVE</t>
  </si>
  <si>
    <t>90_KPI_DASHBOARD</t>
  </si>
  <si>
    <t>CEO cockpit metrics</t>
  </si>
  <si>
    <t>Gold</t>
  </si>
  <si>
    <t>91_CASH_FORECAST</t>
  </si>
  <si>
    <t>12-month cash projection</t>
  </si>
  <si>
    <t>92_NET_WORTH_TRACKER</t>
  </si>
  <si>
    <t>Net worth history</t>
  </si>
  <si>
    <t>93_PORTFOLIO_ANALYTICS</t>
  </si>
  <si>
    <t>Portfolio performance</t>
  </si>
  <si>
    <t>94_EXECUTIVE_REPORT</t>
  </si>
  <si>
    <t>Executive summary report</t>
  </si>
  <si>
    <t>SYSTEM STATUS</t>
  </si>
  <si>
    <t>Metric</t>
  </si>
  <si>
    <t>Last Updated</t>
  </si>
  <si>
    <t>Current</t>
  </si>
  <si>
    <t>Formula Errors</t>
  </si>
  <si>
    <t>0</t>
  </si>
  <si>
    <t>OK</t>
  </si>
  <si>
    <t>Accounting Balance</t>
  </si>
  <si>
    <t>Balanced</t>
  </si>
  <si>
    <t>Active Properties</t>
  </si>
  <si>
    <t>1</t>
  </si>
  <si>
    <t>Active Deals</t>
  </si>
  <si>
    <t>CHART OF ACCOUNTS — Dynasty Accounting OS v1.0</t>
  </si>
  <si>
    <t>Account_Number</t>
  </si>
  <si>
    <t>Account_Name</t>
  </si>
  <si>
    <t>Account_Type</t>
  </si>
  <si>
    <t>Sub_Type</t>
  </si>
  <si>
    <t>Normal_Balance</t>
  </si>
  <si>
    <t>Entity</t>
  </si>
  <si>
    <t>Cash — Operating Account</t>
  </si>
  <si>
    <t>Asset</t>
  </si>
  <si>
    <t>Current Asset</t>
  </si>
  <si>
    <t>Debit</t>
  </si>
  <si>
    <t>Primary operating checking</t>
  </si>
  <si>
    <t>Yes</t>
  </si>
  <si>
    <t>All</t>
  </si>
  <si>
    <t>Cash — Savings Account</t>
  </si>
  <si>
    <t>Business savings</t>
  </si>
  <si>
    <t>Cash — Reserve Fund</t>
  </si>
  <si>
    <t>Capital reserves</t>
  </si>
  <si>
    <t>Cash — Tax Reserve</t>
  </si>
  <si>
    <t>Tax payment reserves</t>
  </si>
  <si>
    <t>Petty Cash</t>
  </si>
  <si>
    <t>Small cash purchases</t>
  </si>
  <si>
    <t>Accounts Receivable</t>
  </si>
  <si>
    <t>Money owed to company</t>
  </si>
  <si>
    <t>AR — Assignment Fees</t>
  </si>
  <si>
    <t>Wholesale assignment receivables</t>
  </si>
  <si>
    <t>AR — Rental Income</t>
  </si>
  <si>
    <t>Rent receivables</t>
  </si>
  <si>
    <t>Prepaid Expenses</t>
  </si>
  <si>
    <t>Prepaid insurance, rent</t>
  </si>
  <si>
    <t>Prepaid Insurance</t>
  </si>
  <si>
    <t>Inventory — Land</t>
  </si>
  <si>
    <t>Real Estate Inventory</t>
  </si>
  <si>
    <t>Land held for sale</t>
  </si>
  <si>
    <t>Inventory — Wholesale Contracts</t>
  </si>
  <si>
    <t>Contracts under assignment</t>
  </si>
  <si>
    <t>Real Estate — Investment Properties</t>
  </si>
  <si>
    <t>Fixed Asset</t>
  </si>
  <si>
    <t>Properties held for investment</t>
  </si>
  <si>
    <t>502 Buckley — Building</t>
  </si>
  <si>
    <t>Building value at purchase</t>
  </si>
  <si>
    <t>STLLC</t>
  </si>
  <si>
    <t>502 Buckley — Land</t>
  </si>
  <si>
    <t>Land value at purchase</t>
  </si>
  <si>
    <t>Accumulated Depreciation — Buildings</t>
  </si>
  <si>
    <t>Credit</t>
  </si>
  <si>
    <t>Contra asset</t>
  </si>
  <si>
    <t>Equipment</t>
  </si>
  <si>
    <t>Tools, equipment</t>
  </si>
  <si>
    <t>Vehicles</t>
  </si>
  <si>
    <t>Company vehicles</t>
  </si>
  <si>
    <t>Accumulated Depreciation — Equipment</t>
  </si>
  <si>
    <t>Security Deposits Held</t>
  </si>
  <si>
    <t>Other Asset</t>
  </si>
  <si>
    <t>Tenant deposits</t>
  </si>
  <si>
    <t>Due from Related Entities</t>
  </si>
  <si>
    <t>Inter-company receivables</t>
  </si>
  <si>
    <t>Investments — Joint Ventures</t>
  </si>
  <si>
    <t>JV investment interests</t>
  </si>
  <si>
    <t>Other Assets</t>
  </si>
  <si>
    <t>Miscellaneous</t>
  </si>
  <si>
    <t>Accounts Payable</t>
  </si>
  <si>
    <t>Liability</t>
  </si>
  <si>
    <t>Current Liability</t>
  </si>
  <si>
    <t>Vendor bills owed</t>
  </si>
  <si>
    <t>AP — Contractors</t>
  </si>
  <si>
    <t>Contractor invoices</t>
  </si>
  <si>
    <t>AP — Materials</t>
  </si>
  <si>
    <t>Material supplier invoices</t>
  </si>
  <si>
    <t>Credit Cards Payable</t>
  </si>
  <si>
    <t>Credit card balances</t>
  </si>
  <si>
    <t>Chase Business Card</t>
  </si>
  <si>
    <t>Accrued Expenses</t>
  </si>
  <si>
    <t>Expenses incurred not yet paid</t>
  </si>
  <si>
    <t>Accrued Interest</t>
  </si>
  <si>
    <t>Accrued Payroll</t>
  </si>
  <si>
    <t>Security Deposits — Tenant</t>
  </si>
  <si>
    <t>Deposits held for tenants</t>
  </si>
  <si>
    <t>Short-Term Debt</t>
  </si>
  <si>
    <t>Debt due within 12 months</t>
  </si>
  <si>
    <t>Mortgage Payable — 502 Buckley</t>
  </si>
  <si>
    <t>Long-Term Liability</t>
  </si>
  <si>
    <t>FHA mortgage principal</t>
  </si>
  <si>
    <t>Hard Money Loans</t>
  </si>
  <si>
    <t>Hard money borrowings</t>
  </si>
  <si>
    <t>Private Lender Notes</t>
  </si>
  <si>
    <t>Private money loans</t>
  </si>
  <si>
    <t>Seller Financing</t>
  </si>
  <si>
    <t>Owner carry notes</t>
  </si>
  <si>
    <t>Deferred Revenue</t>
  </si>
  <si>
    <t>Advance rent payments</t>
  </si>
  <si>
    <t>Due to Related Entities</t>
  </si>
  <si>
    <t>Inter-company payables</t>
  </si>
  <si>
    <t>Tax Payable — Income</t>
  </si>
  <si>
    <t>Estimated income taxes</t>
  </si>
  <si>
    <t>Tax Payable — Sales</t>
  </si>
  <si>
    <t>Sales tax collected</t>
  </si>
  <si>
    <t>Other Liabilities</t>
  </si>
  <si>
    <t>Other Liability</t>
  </si>
  <si>
    <t>Members Equity — Shylow Thompson</t>
  </si>
  <si>
    <t>Equity</t>
  </si>
  <si>
    <t>Owners Equity</t>
  </si>
  <si>
    <t>Primary member equity</t>
  </si>
  <si>
    <t>Retained Earnings</t>
  </si>
  <si>
    <t>Accumulated profits</t>
  </si>
  <si>
    <t>Members Draws</t>
  </si>
  <si>
    <t>Owner distributions</t>
  </si>
  <si>
    <t>Capital Contributions</t>
  </si>
  <si>
    <t>Cash invested by owner</t>
  </si>
  <si>
    <t>Investor Capital — Preferred</t>
  </si>
  <si>
    <t>Investor Equity</t>
  </si>
  <si>
    <t>Preferred equity investors</t>
  </si>
  <si>
    <t>Investor Capital — Common</t>
  </si>
  <si>
    <t>Common equity investors</t>
  </si>
  <si>
    <t>Profit Distributions</t>
  </si>
  <si>
    <t>Distributions</t>
  </si>
  <si>
    <t>Investor profit distributions</t>
  </si>
  <si>
    <t>Wholesale Assignment Fees</t>
  </si>
  <si>
    <t>Revenue</t>
  </si>
  <si>
    <t>Operating Revenue</t>
  </si>
  <si>
    <t>Assignment contract fees</t>
  </si>
  <si>
    <t>Flip Profits</t>
  </si>
  <si>
    <t>Net profit from flips</t>
  </si>
  <si>
    <t>Rental Income — Residential</t>
  </si>
  <si>
    <t>Residential rents</t>
  </si>
  <si>
    <t>Rental Income — Commercial</t>
  </si>
  <si>
    <t>Commercial rents</t>
  </si>
  <si>
    <t>Late Fees</t>
  </si>
  <si>
    <t>Tenant late fees</t>
  </si>
  <si>
    <t>Application Fees</t>
  </si>
  <si>
    <t>Rental application fees</t>
  </si>
  <si>
    <t>Consulting Income</t>
  </si>
  <si>
    <t>Other Revenue</t>
  </si>
  <si>
    <t>Advisory/consulting fees</t>
  </si>
  <si>
    <t>Dynasty OS Revenue</t>
  </si>
  <si>
    <t>SaaS/software revenue</t>
  </si>
  <si>
    <t>KhakiSol Revenue</t>
  </si>
  <si>
    <t>Creative/brand revenue</t>
  </si>
  <si>
    <t>Interest Income</t>
  </si>
  <si>
    <t>Bank and investment interest</t>
  </si>
  <si>
    <t>Gain on Sale — Real Estate</t>
  </si>
  <si>
    <t>Profit from property sales</t>
  </si>
  <si>
    <t>Other Income</t>
  </si>
  <si>
    <t>Miscellaneous income</t>
  </si>
  <si>
    <t>Cost of Properties Sold</t>
  </si>
  <si>
    <t>COGS</t>
  </si>
  <si>
    <t>Direct Cost</t>
  </si>
  <si>
    <t>Book value of sold properties</t>
  </si>
  <si>
    <t>Acquisition Costs</t>
  </si>
  <si>
    <t>Purchase price + closing costs</t>
  </si>
  <si>
    <t>Rehab — Labor</t>
  </si>
  <si>
    <t>Contractor labor</t>
  </si>
  <si>
    <t>Rehab — Materials</t>
  </si>
  <si>
    <t>Materials and supplies</t>
  </si>
  <si>
    <t>Rehab — Permits</t>
  </si>
  <si>
    <t>Building permits</t>
  </si>
  <si>
    <t>Rehab — Subcontractors</t>
  </si>
  <si>
    <t>Specialty contractors</t>
  </si>
  <si>
    <t>Holding Costs</t>
  </si>
  <si>
    <t>While under rehab/sale</t>
  </si>
  <si>
    <t>Holding — Mortgage Interest</t>
  </si>
  <si>
    <t>Interest during hold</t>
  </si>
  <si>
    <t>Holding — Insurance</t>
  </si>
  <si>
    <t>Property insurance</t>
  </si>
  <si>
    <t>Holding — Utilities</t>
  </si>
  <si>
    <t>Utilities during hold</t>
  </si>
  <si>
    <t>Holding — Property Tax</t>
  </si>
  <si>
    <t>Taxes during hold</t>
  </si>
  <si>
    <t>Assignment Costs</t>
  </si>
  <si>
    <t>Marketing, finding fees</t>
  </si>
  <si>
    <t>Development Costs</t>
  </si>
  <si>
    <t>Salaries &amp; Wages</t>
  </si>
  <si>
    <t>Expense</t>
  </si>
  <si>
    <t>Operating Expense</t>
  </si>
  <si>
    <t>Payroll</t>
  </si>
  <si>
    <t>Contract Labor</t>
  </si>
  <si>
    <t>1099 workers</t>
  </si>
  <si>
    <t>Marketing — Digital</t>
  </si>
  <si>
    <t>Online ads, PPC</t>
  </si>
  <si>
    <t>Marketing — Direct Mail</t>
  </si>
  <si>
    <t>Mailers, postcards</t>
  </si>
  <si>
    <t>Marketing — Software (PropWire/DealMachine)</t>
  </si>
  <si>
    <t>Lead gen tools</t>
  </si>
  <si>
    <t>Marketing — Cold Calling</t>
  </si>
  <si>
    <t>Dialers, call centers</t>
  </si>
  <si>
    <t>Office Expenses</t>
  </si>
  <si>
    <t>Supplies, equipment</t>
  </si>
  <si>
    <t>Rent / Lease</t>
  </si>
  <si>
    <t>Office space</t>
  </si>
  <si>
    <t>Utilities — Office</t>
  </si>
  <si>
    <t>Electric, internet</t>
  </si>
  <si>
    <t>Professional Fees — Legal</t>
  </si>
  <si>
    <t>Attorney fees</t>
  </si>
  <si>
    <t>Professional Fees — Accounting</t>
  </si>
  <si>
    <t>CPA/bookkeeper</t>
  </si>
  <si>
    <t>Professional Fees — Consulting</t>
  </si>
  <si>
    <t>Advisors</t>
  </si>
  <si>
    <t>Software &amp; Technology</t>
  </si>
  <si>
    <t>Subscriptions</t>
  </si>
  <si>
    <t>Dynasty OS Development</t>
  </si>
  <si>
    <t>App/web development</t>
  </si>
  <si>
    <t>Insurance</t>
  </si>
  <si>
    <t>Business insurance</t>
  </si>
  <si>
    <t>E&amp;O Insurance</t>
  </si>
  <si>
    <t>Errors &amp; Omissions</t>
  </si>
  <si>
    <t>Vehicle &amp; Travel</t>
  </si>
  <si>
    <t>Car, mileage, travel</t>
  </si>
  <si>
    <t>Fuel</t>
  </si>
  <si>
    <t>Gas expenses</t>
  </si>
  <si>
    <t>Bank Fees</t>
  </si>
  <si>
    <t>Account fees, wire fees</t>
  </si>
  <si>
    <t>Interest Expense</t>
  </si>
  <si>
    <t>Loan interest</t>
  </si>
  <si>
    <t>Mortgage Interest — 502 Buckley</t>
  </si>
  <si>
    <t>FHA mortgage interest</t>
  </si>
  <si>
    <t>Depreciation Expense</t>
  </si>
  <si>
    <t>Annual depreciation</t>
  </si>
  <si>
    <t>Depreciation — 502 Buckley</t>
  </si>
  <si>
    <t>Miscellaneous Expenses</t>
  </si>
  <si>
    <t>Other expenses</t>
  </si>
  <si>
    <t>JOURNAL ENTRIES — Double-Entry Accounting Ledger</t>
  </si>
  <si>
    <t>JE_ID</t>
  </si>
  <si>
    <t>Date</t>
  </si>
  <si>
    <t>Debit_Acct</t>
  </si>
  <si>
    <t>Debit_Name</t>
  </si>
  <si>
    <t>Debit_Amt</t>
  </si>
  <si>
    <t>Credit_Acct</t>
  </si>
  <si>
    <t>Credit_Name</t>
  </si>
  <si>
    <t>Credit_Amt</t>
  </si>
  <si>
    <t>Reference</t>
  </si>
  <si>
    <t>Posted</t>
  </si>
  <si>
    <t>JE001</t>
  </si>
  <si>
    <t>05/01/2026</t>
  </si>
  <si>
    <t>Opening Capital Contribution</t>
  </si>
  <si>
    <t>OPENING</t>
  </si>
  <si>
    <t>Initial capital</t>
  </si>
  <si>
    <t>JE002</t>
  </si>
  <si>
    <t>Purchase 502 Buckley — Building</t>
  </si>
  <si>
    <t>CLOSING-502</t>
  </si>
  <si>
    <t>FHA purchase close</t>
  </si>
  <si>
    <t>JE003</t>
  </si>
  <si>
    <t>Purchase 502 Buckley — Land</t>
  </si>
  <si>
    <t>Land allocation + closing costs</t>
  </si>
  <si>
    <t>JE004</t>
  </si>
  <si>
    <t>Acquisition Closing Costs</t>
  </si>
  <si>
    <t>Included in JE003 credit</t>
  </si>
  <si>
    <t>JE005</t>
  </si>
  <si>
    <t>05/15/2026</t>
  </si>
  <si>
    <t>Rehab Materials — Demo Phase</t>
  </si>
  <si>
    <t>INV-001</t>
  </si>
  <si>
    <t>Demo phase materials</t>
  </si>
  <si>
    <t>JE006</t>
  </si>
  <si>
    <t>05/20/2026</t>
  </si>
  <si>
    <t>Rehab Labor — Contractor Draw 1</t>
  </si>
  <si>
    <t>INV-002</t>
  </si>
  <si>
    <t>First labor draw</t>
  </si>
  <si>
    <t>JE007</t>
  </si>
  <si>
    <t>05/25/2026</t>
  </si>
  <si>
    <t>PropWire Subscription</t>
  </si>
  <si>
    <t>Marketing — Software</t>
  </si>
  <si>
    <t>CC-001</t>
  </si>
  <si>
    <t>Monthly subscription</t>
  </si>
  <si>
    <t>BALANCE CHECK (Posted):</t>
  </si>
  <si>
    <t>Total Debits:</t>
  </si>
  <si>
    <t>Total Credits:</t>
  </si>
  <si>
    <t>Difference (must = 0):</t>
  </si>
  <si>
    <t>GENERAL LEDGER — Account Activity Detail</t>
  </si>
  <si>
    <t>Select Account Number:</t>
  </si>
  <si>
    <t>GL_ID</t>
  </si>
  <si>
    <t>JE_Reference</t>
  </si>
  <si>
    <t>GL-001</t>
  </si>
  <si>
    <t>Opening capital contribution</t>
  </si>
  <si>
    <t>TRIAL BALANCE — As of 05/29/2026</t>
  </si>
  <si>
    <t>TOTAL</t>
  </si>
  <si>
    <t>DIFFERENCE (must = 0)</t>
  </si>
  <si>
    <t>BALANCE SHEET — As of 05/29/2026</t>
  </si>
  <si>
    <t>ASSETS</t>
  </si>
  <si>
    <t>CURRENT ASSETS</t>
  </si>
  <si>
    <t xml:space="preserve">  Cash — Operating Account</t>
  </si>
  <si>
    <t xml:space="preserve">  Accounts Receivable</t>
  </si>
  <si>
    <t xml:space="preserve">  Prepaid Expenses</t>
  </si>
  <si>
    <t>Total Current Assets</t>
  </si>
  <si>
    <t>FIXED ASSETS</t>
  </si>
  <si>
    <t xml:space="preserve">  502 Buckley — Building</t>
  </si>
  <si>
    <t xml:space="preserve">  502 Buckley — Land</t>
  </si>
  <si>
    <t xml:space="preserve">  Accumulated Depreciation</t>
  </si>
  <si>
    <t>Total Fixed Assets</t>
  </si>
  <si>
    <t>TOTAL ASSETS</t>
  </si>
  <si>
    <t>LIABILITIES &amp; EQUITY</t>
  </si>
  <si>
    <t>CURRENT LIABILITIES</t>
  </si>
  <si>
    <t xml:space="preserve">  AP — Contractors</t>
  </si>
  <si>
    <t xml:space="preserve">  Chase Business Card</t>
  </si>
  <si>
    <t xml:space="preserve">  Accrued Expenses</t>
  </si>
  <si>
    <t>Total Current Liabilities</t>
  </si>
  <si>
    <t>LONG-TERM LIABILITIES</t>
  </si>
  <si>
    <t xml:space="preserve">  Mortgage Payable — 502 Buckley</t>
  </si>
  <si>
    <t>Total Long-Term Liabilities</t>
  </si>
  <si>
    <t>TOTAL LIABILITIES</t>
  </si>
  <si>
    <t>OWNER'S EQUITY</t>
  </si>
  <si>
    <t xml:space="preserve">  Capital Contributions</t>
  </si>
  <si>
    <t xml:space="preserve">  Members Draws</t>
  </si>
  <si>
    <t xml:space="preserve">  Retained Earnings</t>
  </si>
  <si>
    <t>Total Owner's Equity</t>
  </si>
  <si>
    <t>TOTAL LIABILITIES + EQUITY</t>
  </si>
  <si>
    <t>BALANCE CHECK (must = $0):</t>
  </si>
  <si>
    <t>INCOME STATEMENT — Period: Jan 2026 — May 2026</t>
  </si>
  <si>
    <t>REVENUE</t>
  </si>
  <si>
    <t xml:space="preserve">  Wholesale Assignment Fees</t>
  </si>
  <si>
    <t xml:space="preserve">  Flip Profits</t>
  </si>
  <si>
    <t xml:space="preserve">  Rental Income</t>
  </si>
  <si>
    <t xml:space="preserve">  Other Revenue</t>
  </si>
  <si>
    <t>TOTAL REVENUE</t>
  </si>
  <si>
    <t>COST OF GOODS SOLD (COGS)</t>
  </si>
  <si>
    <t xml:space="preserve">  Acquisition Costs</t>
  </si>
  <si>
    <t xml:space="preserve">  Rehab — Labor</t>
  </si>
  <si>
    <t xml:space="preserve">  Rehab — Materials</t>
  </si>
  <si>
    <t xml:space="preserve">  Holding Costs</t>
  </si>
  <si>
    <t xml:space="preserve">  Assignment Costs</t>
  </si>
  <si>
    <t>TOTAL COGS</t>
  </si>
  <si>
    <t>GROSS PROFIT</t>
  </si>
  <si>
    <t>Gross Margin %</t>
  </si>
  <si>
    <t>OPERATING EXPENSES</t>
  </si>
  <si>
    <t xml:space="preserve">  Marketing</t>
  </si>
  <si>
    <t xml:space="preserve">  Professional Fees</t>
  </si>
  <si>
    <t xml:space="preserve">  Software &amp; Technology</t>
  </si>
  <si>
    <t xml:space="preserve">  Insurance</t>
  </si>
  <si>
    <t xml:space="preserve">  Vehicle &amp; Travel</t>
  </si>
  <si>
    <t xml:space="preserve">  Bank Fees</t>
  </si>
  <si>
    <t xml:space="preserve">  Other Expenses</t>
  </si>
  <si>
    <t>TOTAL OPERATING EXPENSES</t>
  </si>
  <si>
    <t>OPERATING INCOME (EBIT)</t>
  </si>
  <si>
    <t>BELOW-THE-LINE</t>
  </si>
  <si>
    <t xml:space="preserve">  Interest Expense</t>
  </si>
  <si>
    <t xml:space="preserve">  Depreciation</t>
  </si>
  <si>
    <t>NET INCOME</t>
  </si>
  <si>
    <t>CASH FLOW STATEMENT — YTD 2026</t>
  </si>
  <si>
    <t>A. OPERATING ACTIVITIES</t>
  </si>
  <si>
    <t xml:space="preserve">  Net Income</t>
  </si>
  <si>
    <t xml:space="preserve">  Add: Depreciation</t>
  </si>
  <si>
    <t xml:space="preserve">  Changes in Accounts Receivable</t>
  </si>
  <si>
    <t xml:space="preserve">  Changes in Accounts Payable</t>
  </si>
  <si>
    <t>Net Operating Cash Flow</t>
  </si>
  <si>
    <t>B. INVESTING ACTIVITIES</t>
  </si>
  <si>
    <t xml:space="preserve">  Property Acquisitions</t>
  </si>
  <si>
    <t xml:space="preserve">  Rehab Spending</t>
  </si>
  <si>
    <t xml:space="preserve">  Proceeds from Property Sales</t>
  </si>
  <si>
    <t>Net Investing Cash Flow</t>
  </si>
  <si>
    <t>C. FINANCING ACTIVITIES</t>
  </si>
  <si>
    <t xml:space="preserve">  Mortgage Proceeds</t>
  </si>
  <si>
    <t xml:space="preserve">  Mortgage Payments</t>
  </si>
  <si>
    <t xml:space="preserve">  Owner Draws</t>
  </si>
  <si>
    <t>Net Financing Cash Flow</t>
  </si>
  <si>
    <t>NET CHANGE IN CASH</t>
  </si>
  <si>
    <t>Beginning Cash Balance</t>
  </si>
  <si>
    <t>ENDING CASH BALANCE</t>
  </si>
  <si>
    <t>ANNUAL BUDGET — FY 2026</t>
  </si>
  <si>
    <t>Category</t>
  </si>
  <si>
    <t>Jan</t>
  </si>
  <si>
    <t>Feb</t>
  </si>
  <si>
    <t>Mar</t>
  </si>
  <si>
    <t>Apr</t>
  </si>
  <si>
    <t>May</t>
  </si>
  <si>
    <t>Jun</t>
  </si>
  <si>
    <t>Jul</t>
  </si>
  <si>
    <t>Aug</t>
  </si>
  <si>
    <t>Sep</t>
  </si>
  <si>
    <t>Oct</t>
  </si>
  <si>
    <t>Nov</t>
  </si>
  <si>
    <t>Dec</t>
  </si>
  <si>
    <t>Annual_Total</t>
  </si>
  <si>
    <t>Rental Income</t>
  </si>
  <si>
    <t>Holding — Mortgage</t>
  </si>
  <si>
    <t>BUDGET VS ACTUAL — YTD 2026</t>
  </si>
  <si>
    <t>Budget_YTD</t>
  </si>
  <si>
    <t>Actual_YTD</t>
  </si>
  <si>
    <t>Variance</t>
  </si>
  <si>
    <t>Variance_%</t>
  </si>
  <si>
    <t>BANK ACCOUNTS REGISTRY</t>
  </si>
  <si>
    <t>Account_ID</t>
  </si>
  <si>
    <t>Bank_Name</t>
  </si>
  <si>
    <t>Routing_Number</t>
  </si>
  <si>
    <t>Opening_Balance</t>
  </si>
  <si>
    <t>Current_Balance</t>
  </si>
  <si>
    <t>Last_Reconciled</t>
  </si>
  <si>
    <t>BA001</t>
  </si>
  <si>
    <t>Chase Bank</t>
  </si>
  <si>
    <t>Business Checking</t>
  </si>
  <si>
    <t>XXXX-1234</t>
  </si>
  <si>
    <t>021000021</t>
  </si>
  <si>
    <t>Primary operating account</t>
  </si>
  <si>
    <t>BA002</t>
  </si>
  <si>
    <t>Business Savings</t>
  </si>
  <si>
    <t>XXXX-5678</t>
  </si>
  <si>
    <t>Reserve fund</t>
  </si>
  <si>
    <t>BANK TRANSACTIONS FEED</t>
  </si>
  <si>
    <t>Trans_ID</t>
  </si>
  <si>
    <t>Amount</t>
  </si>
  <si>
    <t>Trans_Type</t>
  </si>
  <si>
    <t>GL_Account</t>
  </si>
  <si>
    <t>Matched</t>
  </si>
  <si>
    <t>Reconciled</t>
  </si>
  <si>
    <t>BT001</t>
  </si>
  <si>
    <t>Capital contribution</t>
  </si>
  <si>
    <t>Deposit</t>
  </si>
  <si>
    <t>Capital</t>
  </si>
  <si>
    <t>WIRE-001</t>
  </si>
  <si>
    <t>Opening capital</t>
  </si>
  <si>
    <t>BT002</t>
  </si>
  <si>
    <t>502 Buckley closing costs</t>
  </si>
  <si>
    <t>Withdrawal</t>
  </si>
  <si>
    <t>Acquisition</t>
  </si>
  <si>
    <t>CHECK-001</t>
  </si>
  <si>
    <t>BT003</t>
  </si>
  <si>
    <t>Demo materials</t>
  </si>
  <si>
    <t>Rehab</t>
  </si>
  <si>
    <t>CHECK-002</t>
  </si>
  <si>
    <t>BT004</t>
  </si>
  <si>
    <t>PropWire subscription</t>
  </si>
  <si>
    <t>Marketing</t>
  </si>
  <si>
    <t>BT005</t>
  </si>
  <si>
    <t>Misc income</t>
  </si>
  <si>
    <t>Other</t>
  </si>
  <si>
    <t>No</t>
  </si>
  <si>
    <t>Pending match</t>
  </si>
  <si>
    <t>BANK RECONCILIATION — Chase Business Checking — May 2026</t>
  </si>
  <si>
    <t>BANK STATEMENT SECTION</t>
  </si>
  <si>
    <t>Bank Statement Balance</t>
  </si>
  <si>
    <t>+ Deposits in Transit</t>
  </si>
  <si>
    <t>- Outstanding Checks</t>
  </si>
  <si>
    <t>ADJUSTED BANK BALANCE</t>
  </si>
  <si>
    <t>BOOK (GL) SECTION</t>
  </si>
  <si>
    <t>Book Balance (per GL)</t>
  </si>
  <si>
    <t>+ Interest Earned</t>
  </si>
  <si>
    <t>- Bank Charges</t>
  </si>
  <si>
    <t>ADJUSTED BOOK BALANCE</t>
  </si>
  <si>
    <t>DIFFERENCE (must = $0)</t>
  </si>
  <si>
    <t>CREDIT CARD TRANSACTIONS</t>
  </si>
  <si>
    <t>Card_Name</t>
  </si>
  <si>
    <t>Merchant</t>
  </si>
  <si>
    <t>Reimbursable</t>
  </si>
  <si>
    <t>CC001</t>
  </si>
  <si>
    <t>Chase Business</t>
  </si>
  <si>
    <t>PropWire</t>
  </si>
  <si>
    <t>Marketing Software</t>
  </si>
  <si>
    <t>Monthly sub</t>
  </si>
  <si>
    <t>CC002</t>
  </si>
  <si>
    <t>Home Depot</t>
  </si>
  <si>
    <t>Rehab Materials</t>
  </si>
  <si>
    <t>Demo supplies</t>
  </si>
  <si>
    <t>CUSTOMER DATABASE</t>
  </si>
  <si>
    <t>Customer_ID</t>
  </si>
  <si>
    <t>First_Name</t>
  </si>
  <si>
    <t>Last_Name</t>
  </si>
  <si>
    <t>Company</t>
  </si>
  <si>
    <t>Email</t>
  </si>
  <si>
    <t>Phone</t>
  </si>
  <si>
    <t>Address</t>
  </si>
  <si>
    <t>Customer_Type</t>
  </si>
  <si>
    <t>Credit_Limit</t>
  </si>
  <si>
    <t>Outstanding_Balance</t>
  </si>
  <si>
    <t>C001</t>
  </si>
  <si>
    <t>John</t>
  </si>
  <si>
    <t>Smith</t>
  </si>
  <si>
    <t>john@email.com</t>
  </si>
  <si>
    <t>314-555-0001</t>
  </si>
  <si>
    <t>St. Louis, MO</t>
  </si>
  <si>
    <t>Buyer</t>
  </si>
  <si>
    <t>Cash buyer — wholesale deals</t>
  </si>
  <si>
    <t>C002</t>
  </si>
  <si>
    <t>Mary</t>
  </si>
  <si>
    <t>Johnson</t>
  </si>
  <si>
    <t>mary@email.com</t>
  </si>
  <si>
    <t>314-555-0002</t>
  </si>
  <si>
    <t>Tenant</t>
  </si>
  <si>
    <t>Potential tenant — 502 Buckley</t>
  </si>
  <si>
    <t>INVOICE MANAGEMENT</t>
  </si>
  <si>
    <t>Invoice_ID</t>
  </si>
  <si>
    <t>Customer_Name</t>
  </si>
  <si>
    <t>Property</t>
  </si>
  <si>
    <t>Tax</t>
  </si>
  <si>
    <t>Total</t>
  </si>
  <si>
    <t>Due_Date</t>
  </si>
  <si>
    <t>John Smith</t>
  </si>
  <si>
    <t>Assignment Fee — 123 Main St</t>
  </si>
  <si>
    <t>06/15/2026</t>
  </si>
  <si>
    <t>Pending</t>
  </si>
  <si>
    <t>ACCOUNTS RECEIVABLE TRACKER</t>
  </si>
  <si>
    <t>AR_ID</t>
  </si>
  <si>
    <t>Original_Amount</t>
  </si>
  <si>
    <t>Amount_Paid</t>
  </si>
  <si>
    <t>Balance_Due</t>
  </si>
  <si>
    <t>Invoice_Date</t>
  </si>
  <si>
    <t>Days_Outstanding</t>
  </si>
  <si>
    <t>AR001</t>
  </si>
  <si>
    <t>ACCOUNTS RECEIVABLE AGING — As of Today</t>
  </si>
  <si>
    <t>1-30 Days</t>
  </si>
  <si>
    <t>31-60 Days</t>
  </si>
  <si>
    <t>61-90 Days</t>
  </si>
  <si>
    <t>90+ Days</t>
  </si>
  <si>
    <t>VENDOR DATABASE</t>
  </si>
  <si>
    <t>Vendor_ID</t>
  </si>
  <si>
    <t>Vendor_Name</t>
  </si>
  <si>
    <t>Contact_Name</t>
  </si>
  <si>
    <t>Vendor_Type</t>
  </si>
  <si>
    <t>Payment_Terms</t>
  </si>
  <si>
    <t>W9_On_File</t>
  </si>
  <si>
    <t>1099_Required</t>
  </si>
  <si>
    <t>V001</t>
  </si>
  <si>
    <t>General Contractor</t>
  </si>
  <si>
    <t>TBD</t>
  </si>
  <si>
    <t>314-555-0100</t>
  </si>
  <si>
    <t>Contractor</t>
  </si>
  <si>
    <t>Net 30</t>
  </si>
  <si>
    <t>Primary rehab contractor</t>
  </si>
  <si>
    <t>V002</t>
  </si>
  <si>
    <t>billing@propwire.com</t>
  </si>
  <si>
    <t>Software</t>
  </si>
  <si>
    <t>Monthly</t>
  </si>
  <si>
    <t>Lead generation software</t>
  </si>
  <si>
    <t>V003</t>
  </si>
  <si>
    <t>Supplier</t>
  </si>
  <si>
    <t>Net 0</t>
  </si>
  <si>
    <t>Materials supplier</t>
  </si>
  <si>
    <t>BILL MANAGEMENT — Accounts Payable</t>
  </si>
  <si>
    <t>Bill_ID</t>
  </si>
  <si>
    <t>Approved_By</t>
  </si>
  <si>
    <t>BILL-001</t>
  </si>
  <si>
    <t>Labor — Demo phase 502 Buckley</t>
  </si>
  <si>
    <t>06/20/2026</t>
  </si>
  <si>
    <t>Unpaid</t>
  </si>
  <si>
    <t>Shylow</t>
  </si>
  <si>
    <t>Phase 1 labor</t>
  </si>
  <si>
    <t>BILL-002</t>
  </si>
  <si>
    <t>06/01/2026</t>
  </si>
  <si>
    <t>Paid</t>
  </si>
  <si>
    <t>BILL-003</t>
  </si>
  <si>
    <t>ACCOUNTS PAYABLE TRACKER</t>
  </si>
  <si>
    <t>AP_ID</t>
  </si>
  <si>
    <t>Bill_Date</t>
  </si>
  <si>
    <t>AP001</t>
  </si>
  <si>
    <t>AP002</t>
  </si>
  <si>
    <t>AP003</t>
  </si>
  <si>
    <t>ACCOUNTS PAYABLE AGING — As of Today</t>
  </si>
  <si>
    <t>PROPERTY MASTER — Real Estate Portfolio</t>
  </si>
  <si>
    <t>Property_ID</t>
  </si>
  <si>
    <t>City</t>
  </si>
  <si>
    <t>Zip</t>
  </si>
  <si>
    <t>Property_Type</t>
  </si>
  <si>
    <t>Purchase_Date</t>
  </si>
  <si>
    <t>Purchase_Price</t>
  </si>
  <si>
    <t>Land_Value</t>
  </si>
  <si>
    <t>Building_Value</t>
  </si>
  <si>
    <t>Closing_Costs</t>
  </si>
  <si>
    <t>ARV</t>
  </si>
  <si>
    <t>Rehab_Budget</t>
  </si>
  <si>
    <t>Rehab_Actual</t>
  </si>
  <si>
    <t>Rehab_Variance</t>
  </si>
  <si>
    <t>Loan_Balance</t>
  </si>
  <si>
    <t>Loan_Type</t>
  </si>
  <si>
    <t>Monthly_Payment</t>
  </si>
  <si>
    <t>Monthly_Rent</t>
  </si>
  <si>
    <t>NOI</t>
  </si>
  <si>
    <t>DSCR</t>
  </si>
  <si>
    <t>Cap_Rate</t>
  </si>
  <si>
    <t>Exit_Strategy</t>
  </si>
  <si>
    <t>P001</t>
  </si>
  <si>
    <t>St. Louis</t>
  </si>
  <si>
    <t>MO</t>
  </si>
  <si>
    <t>63137</t>
  </si>
  <si>
    <t>Single Family</t>
  </si>
  <si>
    <t>Active — Rehab</t>
  </si>
  <si>
    <t>FHA</t>
  </si>
  <si>
    <t>BRRR</t>
  </si>
  <si>
    <t>Notes:</t>
  </si>
  <si>
    <t>502 Buckley objectives: Fix crawlspace/floor issues, add basement, add 3rd bedroom. FHA purchase 05/01/2026. Rehab in progress.</t>
  </si>
  <si>
    <t>ACQUISITIONS — Deal Pipeline</t>
  </si>
  <si>
    <t>Acq_ID</t>
  </si>
  <si>
    <t>Lead_Source</t>
  </si>
  <si>
    <t>Lead_Date</t>
  </si>
  <si>
    <t>Contract_Date</t>
  </si>
  <si>
    <t>Rehab_Est</t>
  </si>
  <si>
    <t>MAO</t>
  </si>
  <si>
    <t>Spread</t>
  </si>
  <si>
    <t>Under_Contract</t>
  </si>
  <si>
    <t>Closing_Date</t>
  </si>
  <si>
    <t>Deal_Type</t>
  </si>
  <si>
    <t>ACQ001</t>
  </si>
  <si>
    <t>502 Buckley, St. Louis MO 63137</t>
  </si>
  <si>
    <t>Direct</t>
  </si>
  <si>
    <t>04/15/2026</t>
  </si>
  <si>
    <t>04/25/2026</t>
  </si>
  <si>
    <t>Closed</t>
  </si>
  <si>
    <t>FHA purchase. Rehab in progress. Objectives: crawlspace, basement, 3rd bedroom</t>
  </si>
  <si>
    <t>REHAB BUDGET &amp; TRACKER — 502 Buckley St. Louis MO</t>
  </si>
  <si>
    <t>Work_Order</t>
  </si>
  <si>
    <t>Scope_of_Work</t>
  </si>
  <si>
    <t>Budget</t>
  </si>
  <si>
    <t>Actual</t>
  </si>
  <si>
    <t>Pct_Complete</t>
  </si>
  <si>
    <t>Start_Date</t>
  </si>
  <si>
    <t>End_Date</t>
  </si>
  <si>
    <t>WO001</t>
  </si>
  <si>
    <t>Demo &amp; Site Prep</t>
  </si>
  <si>
    <t>Clear structure, remove debris, dumpsters</t>
  </si>
  <si>
    <t>In Progress</t>
  </si>
  <si>
    <t>05/10/2026</t>
  </si>
  <si>
    <t>05/31/2026</t>
  </si>
  <si>
    <t>Phase 1</t>
  </si>
  <si>
    <t>WO002</t>
  </si>
  <si>
    <t>Crawlspace/Foundation</t>
  </si>
  <si>
    <t>Fix crawlspace, address foundation issues, add drainage</t>
  </si>
  <si>
    <t>Critical — must complete first</t>
  </si>
  <si>
    <t>WO003</t>
  </si>
  <si>
    <t>Basement Addition</t>
  </si>
  <si>
    <t>Excavate and pour basement, waterproof</t>
  </si>
  <si>
    <t>Major addition</t>
  </si>
  <si>
    <t>WO004</t>
  </si>
  <si>
    <t>Framing</t>
  </si>
  <si>
    <t>Add 3rd bedroom framing, structural repairs</t>
  </si>
  <si>
    <t>WO005</t>
  </si>
  <si>
    <t>Roofing</t>
  </si>
  <si>
    <t>Full roof replacement</t>
  </si>
  <si>
    <t>WO006</t>
  </si>
  <si>
    <t>Exterior/Siding</t>
  </si>
  <si>
    <t>Siding, exterior paint, gutters</t>
  </si>
  <si>
    <t>WO007</t>
  </si>
  <si>
    <t>Windows &amp; Doors</t>
  </si>
  <si>
    <t>Replace all windows and exterior doors</t>
  </si>
  <si>
    <t>WO008</t>
  </si>
  <si>
    <t>Electrical</t>
  </si>
  <si>
    <t>Full electrical upgrade, 200 amp panel</t>
  </si>
  <si>
    <t>WO009</t>
  </si>
  <si>
    <t>Plumbing</t>
  </si>
  <si>
    <t>Rough plumbing, fixtures, water heater</t>
  </si>
  <si>
    <t>WO010</t>
  </si>
  <si>
    <t>HVAC</t>
  </si>
  <si>
    <t>New forced air system, ductwork</t>
  </si>
  <si>
    <t>WO011</t>
  </si>
  <si>
    <t>Insulation</t>
  </si>
  <si>
    <t>Full house insulation</t>
  </si>
  <si>
    <t>WO012</t>
  </si>
  <si>
    <t>Drywall</t>
  </si>
  <si>
    <t>Hang, tape, mud, sand throughout</t>
  </si>
  <si>
    <t>WO013</t>
  </si>
  <si>
    <t>Interior Doors</t>
  </si>
  <si>
    <t>All interior doors and hardware</t>
  </si>
  <si>
    <t>WO014</t>
  </si>
  <si>
    <t>Flooring</t>
  </si>
  <si>
    <t>LVP main floor, carpet bedrooms</t>
  </si>
  <si>
    <t>WO015</t>
  </si>
  <si>
    <t>Kitchen</t>
  </si>
  <si>
    <t>Full kitchen — cabinets, counters, backsplash</t>
  </si>
  <si>
    <t>WO016</t>
  </si>
  <si>
    <t>Bathroom 1</t>
  </si>
  <si>
    <t>Full master bath renovate</t>
  </si>
  <si>
    <t>WO017</t>
  </si>
  <si>
    <t>Bathroom 2</t>
  </si>
  <si>
    <t>Second bathroom add or renovate</t>
  </si>
  <si>
    <t>WO018</t>
  </si>
  <si>
    <t>Paint — Interior</t>
  </si>
  <si>
    <t>Full interior prime + 2 coats</t>
  </si>
  <si>
    <t>WO019</t>
  </si>
  <si>
    <t>Paint — Exterior</t>
  </si>
  <si>
    <t>Exterior paint and trim</t>
  </si>
  <si>
    <t>WO020</t>
  </si>
  <si>
    <t>Cabinets/Millwork</t>
  </si>
  <si>
    <t>Built-ins, closets, trim</t>
  </si>
  <si>
    <t>WO021</t>
  </si>
  <si>
    <t>Landscaping</t>
  </si>
  <si>
    <t>Grading, seed, basic curb appeal</t>
  </si>
  <si>
    <t>WO022</t>
  </si>
  <si>
    <t>Driveway/Parking</t>
  </si>
  <si>
    <t>Concrete or asphalt driveway</t>
  </si>
  <si>
    <t>WO023</t>
  </si>
  <si>
    <t>Appliances</t>
  </si>
  <si>
    <t>Range, fridge, dishwasher, W/D hook</t>
  </si>
  <si>
    <t>WO024</t>
  </si>
  <si>
    <t>Lighting/Fixtures</t>
  </si>
  <si>
    <t>All lighting, ceiling fans, switches</t>
  </si>
  <si>
    <t>WO025</t>
  </si>
  <si>
    <t>Cleanup/Final</t>
  </si>
  <si>
    <t>Final debris removal, touch-ups</t>
  </si>
  <si>
    <t>WO026</t>
  </si>
  <si>
    <t>Permits</t>
  </si>
  <si>
    <t>All building permits</t>
  </si>
  <si>
    <t>WO027</t>
  </si>
  <si>
    <t>Inspections</t>
  </si>
  <si>
    <t>All required inspections</t>
  </si>
  <si>
    <t>WO028</t>
  </si>
  <si>
    <t>Contingency 10%</t>
  </si>
  <si>
    <t>10% contingency reserve</t>
  </si>
  <si>
    <t>WO029</t>
  </si>
  <si>
    <t>GC Overhead 10%</t>
  </si>
  <si>
    <t>General contractor markup</t>
  </si>
  <si>
    <t>WO030</t>
  </si>
  <si>
    <t>Change Orders</t>
  </si>
  <si>
    <t>Approved change orders</t>
  </si>
  <si>
    <t>TOTAL REHAB BUDGET</t>
  </si>
  <si>
    <t>REHAB HEALTH SCORE:</t>
  </si>
  <si>
    <t>CONSTRUCTION DRAW SCHEDULE</t>
  </si>
  <si>
    <t>Draw_ID</t>
  </si>
  <si>
    <t>Lender</t>
  </si>
  <si>
    <t>Draw_Amount</t>
  </si>
  <si>
    <t>Draw_Purpose</t>
  </si>
  <si>
    <t>Work_Completed_%</t>
  </si>
  <si>
    <t>Inspector_Approved</t>
  </si>
  <si>
    <t>Funded</t>
  </si>
  <si>
    <t>Draw_Number</t>
  </si>
  <si>
    <t>Cumulative_Draws</t>
  </si>
  <si>
    <t>Remaining_Budget</t>
  </si>
  <si>
    <t>DR001</t>
  </si>
  <si>
    <t>FHA/Personal</t>
  </si>
  <si>
    <t>Demo phase materials — lumber, dumpster</t>
  </si>
  <si>
    <t>Initial materials draw</t>
  </si>
  <si>
    <t>HOLDING COSTS TRACKER</t>
  </si>
  <si>
    <t>HC_ID</t>
  </si>
  <si>
    <t>Month</t>
  </si>
  <si>
    <t>Mortgage</t>
  </si>
  <si>
    <t>Property_Tax</t>
  </si>
  <si>
    <t>Utilities</t>
  </si>
  <si>
    <t>HOA</t>
  </si>
  <si>
    <t>Total_Monthly</t>
  </si>
  <si>
    <t>Cumulative_Total</t>
  </si>
  <si>
    <t>HC001</t>
  </si>
  <si>
    <t>May 2026</t>
  </si>
  <si>
    <t>RENT ROLL — Rental Income Tracker</t>
  </si>
  <si>
    <t>Rent_ID</t>
  </si>
  <si>
    <t>Unit</t>
  </si>
  <si>
    <t>Tenant_Name</t>
  </si>
  <si>
    <t>Lease_Start</t>
  </si>
  <si>
    <t>Lease_End</t>
  </si>
  <si>
    <t>Security_Deposit</t>
  </si>
  <si>
    <t>Deposit_Held</t>
  </si>
  <si>
    <t>Annual_Rent</t>
  </si>
  <si>
    <t>Collected_YTD</t>
  </si>
  <si>
    <t>RENT001</t>
  </si>
  <si>
    <t>Unit 1</t>
  </si>
  <si>
    <t>VACANT</t>
  </si>
  <si>
    <t>Pending rehab completion — est. rental ready Q4 2026</t>
  </si>
  <si>
    <t>CAPITAL EXPENDITURES — Asset Register</t>
  </si>
  <si>
    <t>CapEx_ID</t>
  </si>
  <si>
    <t>Asset_Class</t>
  </si>
  <si>
    <t>Useful_Life</t>
  </si>
  <si>
    <t>Annual_Depreciation</t>
  </si>
  <si>
    <t>Accumulated_Depr</t>
  </si>
  <si>
    <t>Book_Value</t>
  </si>
  <si>
    <t>Capitalized</t>
  </si>
  <si>
    <t>CE001</t>
  </si>
  <si>
    <t>Building purchase</t>
  </si>
  <si>
    <t>Residential RE</t>
  </si>
  <si>
    <t>FHA purchase allocation</t>
  </si>
  <si>
    <t>CE002</t>
  </si>
  <si>
    <t>Land purchase</t>
  </si>
  <si>
    <t>Land</t>
  </si>
  <si>
    <t>Land not depreciated</t>
  </si>
  <si>
    <t>DISPOSITIONS — Property Sales Log</t>
  </si>
  <si>
    <t>Disp_ID</t>
  </si>
  <si>
    <t>Sale_Date</t>
  </si>
  <si>
    <t>Sale_Price</t>
  </si>
  <si>
    <t>Rehab_Cost</t>
  </si>
  <si>
    <t>Holding_Costs</t>
  </si>
  <si>
    <t>Selling_Costs</t>
  </si>
  <si>
    <t>Total_Costs</t>
  </si>
  <si>
    <t>Net_Profit</t>
  </si>
  <si>
    <t>ROI</t>
  </si>
  <si>
    <t>Annualized_ROI</t>
  </si>
  <si>
    <t>Hold_Days</t>
  </si>
  <si>
    <t>Exit_Type</t>
  </si>
  <si>
    <t>[No dispositions yet]</t>
  </si>
  <si>
    <t>WHOLESALE DEAL ANALYZER — Dynasty Accounting OS</t>
  </si>
  <si>
    <t>INPUTS (Blue = Editable)</t>
  </si>
  <si>
    <t>Property Address</t>
  </si>
  <si>
    <t>[ENTER ADDRESS]</t>
  </si>
  <si>
    <t>ARV (After Repair Value)</t>
  </si>
  <si>
    <t>Purchase Price</t>
  </si>
  <si>
    <t>Assignment Fee Target</t>
  </si>
  <si>
    <t>Marketing Cost</t>
  </si>
  <si>
    <t>Inspection Cost</t>
  </si>
  <si>
    <t>Other Costs</t>
  </si>
  <si>
    <t>CALCULATIONS</t>
  </si>
  <si>
    <t>MAO (70% Rule)</t>
  </si>
  <si>
    <t>Max Purchase Price</t>
  </si>
  <si>
    <t>Gross Spread</t>
  </si>
  <si>
    <t>Total Costs</t>
  </si>
  <si>
    <t>Net Assignment Fee</t>
  </si>
  <si>
    <t>ROI on Marketing</t>
  </si>
  <si>
    <t>DECISION</t>
  </si>
  <si>
    <t>WHOLESALE PIPELINE</t>
  </si>
  <si>
    <t>Lead</t>
  </si>
  <si>
    <t>Asking</t>
  </si>
  <si>
    <t>Offer</t>
  </si>
  <si>
    <t>Assignment_Fee</t>
  </si>
  <si>
    <t>Mktg_Cost</t>
  </si>
  <si>
    <t>Decision</t>
  </si>
  <si>
    <t>FIX &amp; FLIP ANALYZER — 502 Buckley Analysis</t>
  </si>
  <si>
    <t>INPUTS — 502 Buckley, St. Louis MO</t>
  </si>
  <si>
    <t>Closing Costs — Purchase</t>
  </si>
  <si>
    <t>Rehab Budget</t>
  </si>
  <si>
    <t>Holding Period (months)</t>
  </si>
  <si>
    <t>Monthly Holding Cost</t>
  </si>
  <si>
    <t>Selling Price (ARV)</t>
  </si>
  <si>
    <t>Realtor Commission %</t>
  </si>
  <si>
    <t>Closing Costs Sale %</t>
  </si>
  <si>
    <t>Other Selling Costs</t>
  </si>
  <si>
    <t>FLIP ANALYSIS</t>
  </si>
  <si>
    <t>Total Acquisition Cost</t>
  </si>
  <si>
    <t>Total Rehab Cost</t>
  </si>
  <si>
    <t>Total Holding Costs</t>
  </si>
  <si>
    <t>Total Selling Costs</t>
  </si>
  <si>
    <t>TOTAL PROJECT COST</t>
  </si>
  <si>
    <t>NET PROFIT</t>
  </si>
  <si>
    <t>Annualized ROI</t>
  </si>
  <si>
    <t>BRRR ANALYZER — Buy, Rehab, Rent, Refinance, Repeat</t>
  </si>
  <si>
    <t>INPUTS — 502 Buckley BRRR Analysis</t>
  </si>
  <si>
    <t>Closing Costs</t>
  </si>
  <si>
    <t>Rehab Cost</t>
  </si>
  <si>
    <t>ARV After Rehab</t>
  </si>
  <si>
    <t>Monthly Rent</t>
  </si>
  <si>
    <t>Vacancy Rate %</t>
  </si>
  <si>
    <t>Operating Expense %</t>
  </si>
  <si>
    <t>Refinance LTV %</t>
  </si>
  <si>
    <t>Refinance Interest Rate %</t>
  </si>
  <si>
    <t>Refinance Term (years)</t>
  </si>
  <si>
    <t>Total Holding Costs During Rehab</t>
  </si>
  <si>
    <t>BRRR ANALYSIS</t>
  </si>
  <si>
    <t>Total Investment (All-In)</t>
  </si>
  <si>
    <t>Refinance Amount</t>
  </si>
  <si>
    <t>Monthly Mortgage (Refi)</t>
  </si>
  <si>
    <t>Effective Monthly Rent</t>
  </si>
  <si>
    <t>Monthly Operating Expenses</t>
  </si>
  <si>
    <t>Monthly NOI</t>
  </si>
  <si>
    <t>Monthly Cash Flow</t>
  </si>
  <si>
    <t>Annual Cash Flow</t>
  </si>
  <si>
    <t>Cash Left in Deal</t>
  </si>
  <si>
    <t>Cash-on-Cash Return</t>
  </si>
  <si>
    <t>Cap Rate</t>
  </si>
  <si>
    <t>Equity Created</t>
  </si>
  <si>
    <t>Cash Recovered</t>
  </si>
  <si>
    <t>DEVELOPMENT DEAL ANALYZER</t>
  </si>
  <si>
    <t>INPUTS</t>
  </si>
  <si>
    <t>Land Cost</t>
  </si>
  <si>
    <t>Soft Costs (permits, arch, eng)</t>
  </si>
  <si>
    <t>Hard Construction Costs</t>
  </si>
  <si>
    <t>Financing Costs</t>
  </si>
  <si>
    <t>Contingency %</t>
  </si>
  <si>
    <t>Number of Units</t>
  </si>
  <si>
    <t>Projected Sale Price per Unit</t>
  </si>
  <si>
    <t>DEVELOPMENT ANALYSIS</t>
  </si>
  <si>
    <t>Base Development Cost</t>
  </si>
  <si>
    <t>Contingency Reserve</t>
  </si>
  <si>
    <t>TOTAL DEVELOPMENT COST</t>
  </si>
  <si>
    <t>Cost Per Unit</t>
  </si>
  <si>
    <t>Gross Development Value (GDV)</t>
  </si>
  <si>
    <t>Development Profit</t>
  </si>
  <si>
    <t>Development Margin</t>
  </si>
  <si>
    <t>LAND DEAL ANALYZER</t>
  </si>
  <si>
    <t>Entitlement Costs</t>
  </si>
  <si>
    <t>Carrying Costs / Month</t>
  </si>
  <si>
    <t>Hold Period (months)</t>
  </si>
  <si>
    <t>Target Sale Price</t>
  </si>
  <si>
    <t>Assignment Fee Option</t>
  </si>
  <si>
    <t>LAND ANALYSIS</t>
  </si>
  <si>
    <t>Total Carrying Costs</t>
  </si>
  <si>
    <t>Total Cost (Hold)</t>
  </si>
  <si>
    <t>Net Profit (Sell)</t>
  </si>
  <si>
    <t>ROI (Sell)</t>
  </si>
  <si>
    <t>Net Profit (Assign)</t>
  </si>
  <si>
    <t>ROI (Assign)</t>
  </si>
  <si>
    <t>INVESTOR REGISTRY — Dynasty Accounting OS</t>
  </si>
  <si>
    <t>Investor_ID</t>
  </si>
  <si>
    <t>Accredited</t>
  </si>
  <si>
    <t>Capital_Committed</t>
  </si>
  <si>
    <t>Capital_Called</t>
  </si>
  <si>
    <t>Capital_Returned</t>
  </si>
  <si>
    <t>Pref_Return_%</t>
  </si>
  <si>
    <t>Profit_Split_%</t>
  </si>
  <si>
    <t>INV001</t>
  </si>
  <si>
    <t>Private Lender 1</t>
  </si>
  <si>
    <t>[TBD]</t>
  </si>
  <si>
    <t>Hard money / private lender potential</t>
  </si>
  <si>
    <t>CAPITAL STACK — 502 Buckley</t>
  </si>
  <si>
    <t>Tranche</t>
  </si>
  <si>
    <t>Source</t>
  </si>
  <si>
    <t>Type</t>
  </si>
  <si>
    <t>Rate_%</t>
  </si>
  <si>
    <t>Term</t>
  </si>
  <si>
    <t>LTV_%</t>
  </si>
  <si>
    <t>Position</t>
  </si>
  <si>
    <t>Total_Cost</t>
  </si>
  <si>
    <t>Senior Debt</t>
  </si>
  <si>
    <t>FHA Mortgage</t>
  </si>
  <si>
    <t>Debt</t>
  </si>
  <si>
    <t>30 years</t>
  </si>
  <si>
    <t>1st Lien</t>
  </si>
  <si>
    <t>FHA purchase loan at 6.5%</t>
  </si>
  <si>
    <t>Owner Capital</t>
  </si>
  <si>
    <t>N/A</t>
  </si>
  <si>
    <t>Owner equity + closing costs</t>
  </si>
  <si>
    <t>TOTALS</t>
  </si>
  <si>
    <t>DISTRIBUTION WATERFALL — 3-Tier Structure</t>
  </si>
  <si>
    <t>WATERFALL INPUTS</t>
  </si>
  <si>
    <t>Total Distributions Available</t>
  </si>
  <si>
    <t>Total Investor Capital Invested</t>
  </si>
  <si>
    <t>Preferred Return Rate %</t>
  </si>
  <si>
    <t>Investor Profit Share %</t>
  </si>
  <si>
    <t>Owner Profit Share %</t>
  </si>
  <si>
    <t>WATERFALL DISTRIBUTION</t>
  </si>
  <si>
    <t>TIER 1: Return of Capital</t>
  </si>
  <si>
    <t>Remaining After Tier 1</t>
  </si>
  <si>
    <t>TIER 2: Preferred Return (8% annualized)</t>
  </si>
  <si>
    <t>Remaining After Tier 2</t>
  </si>
  <si>
    <t>TIER 3: Investor Profit Share (30%)</t>
  </si>
  <si>
    <t>Owner Profit Share (70%)</t>
  </si>
  <si>
    <t>INVESTOR TOTAL</t>
  </si>
  <si>
    <t>OWNER TOTAL</t>
  </si>
  <si>
    <t>GRAND TOTAL CHECK</t>
  </si>
  <si>
    <t>DISTRIBUTION HISTORY</t>
  </si>
  <si>
    <t>Dist_ID</t>
  </si>
  <si>
    <t>Property_Fund</t>
  </si>
  <si>
    <t>Investor_Name</t>
  </si>
  <si>
    <t>Dist_Type</t>
  </si>
  <si>
    <t>ROC</t>
  </si>
  <si>
    <t>Preferred</t>
  </si>
  <si>
    <t>Profit</t>
  </si>
  <si>
    <t>Cumulative</t>
  </si>
  <si>
    <t>[No distributions yet]</t>
  </si>
  <si>
    <t>INVESTOR SUMMARY REPORT — Dynasty Accounting OS</t>
  </si>
  <si>
    <t>Report Date: 05/29/2026  |  Prepared by: Dynasty Accounting OS v1.0</t>
  </si>
  <si>
    <t>Name</t>
  </si>
  <si>
    <t>Capital_Invested</t>
  </si>
  <si>
    <t>Pref_Return_Earned</t>
  </si>
  <si>
    <t>IRR</t>
  </si>
  <si>
    <t>AI DEAL SCORING ENGINE — TROOPER_ACCOUNTANT</t>
  </si>
  <si>
    <t>STATUS: Placeholder formulas active | Connect AI API for enhanced ML scoring | All scores calculated via weighted formula matrix</t>
  </si>
  <si>
    <t>Deal_ID</t>
  </si>
  <si>
    <t>Purchase</t>
  </si>
  <si>
    <t>Margin_%</t>
  </si>
  <si>
    <t>Cash_Flow</t>
  </si>
  <si>
    <t>Score</t>
  </si>
  <si>
    <t>Grade</t>
  </si>
  <si>
    <t>AI_Recommendation</t>
  </si>
  <si>
    <t>DEAL001</t>
  </si>
  <si>
    <t>502 Buckley, St. Louis MO</t>
  </si>
  <si>
    <t>13-WEEK ROLLING CASH FORECAST — Dynasty Accounting OS</t>
  </si>
  <si>
    <t>Week</t>
  </si>
  <si>
    <t>Week_Start</t>
  </si>
  <si>
    <t>Week_End</t>
  </si>
  <si>
    <t>Beginning_Balance</t>
  </si>
  <si>
    <t>Expected_Inflows</t>
  </si>
  <si>
    <t>Expected_Outflows</t>
  </si>
  <si>
    <t>Net_Change</t>
  </si>
  <si>
    <t>Ending_Balance</t>
  </si>
  <si>
    <t>Alert</t>
  </si>
  <si>
    <t>06/04/2026</t>
  </si>
  <si>
    <t>06/05/2026</t>
  </si>
  <si>
    <t>06/11/2026</t>
  </si>
  <si>
    <t>06/12/2026</t>
  </si>
  <si>
    <t>06/18/2026</t>
  </si>
  <si>
    <t>06/19/2026</t>
  </si>
  <si>
    <t>06/25/2026</t>
  </si>
  <si>
    <t>06/26/2026</t>
  </si>
  <si>
    <t>07/02/2026</t>
  </si>
  <si>
    <t>07/03/2026</t>
  </si>
  <si>
    <t>07/09/2026</t>
  </si>
  <si>
    <t>07/10/2026</t>
  </si>
  <si>
    <t>07/16/2026</t>
  </si>
  <si>
    <t>07/17/2026</t>
  </si>
  <si>
    <t>07/23/2026</t>
  </si>
  <si>
    <t>07/24/2026</t>
  </si>
  <si>
    <t>07/30/2026</t>
  </si>
  <si>
    <t>07/31/2026</t>
  </si>
  <si>
    <t>08/06/2026</t>
  </si>
  <si>
    <t>08/07/2026</t>
  </si>
  <si>
    <t>08/13/2026</t>
  </si>
  <si>
    <t>08/14/2026</t>
  </si>
  <si>
    <t>08/20/2026</t>
  </si>
  <si>
    <t>08/21/2026</t>
  </si>
  <si>
    <t>08/27/2026</t>
  </si>
  <si>
    <t>AI ANOMALY DETECTION — Expense Monitor</t>
  </si>
  <si>
    <t>STATUS: Monitoring active | Connect to live transaction feed for real-time anomaly detection | Threshold: &gt;50% variance from average</t>
  </si>
  <si>
    <t>Detection_Date</t>
  </si>
  <si>
    <t>Account</t>
  </si>
  <si>
    <t>Avg_Amount</t>
  </si>
  <si>
    <t>Anomaly_Flag</t>
  </si>
  <si>
    <t>Severity</t>
  </si>
  <si>
    <t>AI ACCOUNTING ASSISTANT — TROOPER_ACCOUNTANT</t>
  </si>
  <si>
    <t>TROOPER_ACCOUNTANT | Institutional-grade AI accounting assistant for Dynasty Accounting OS</t>
  </si>
  <si>
    <t>CAPABILITY</t>
  </si>
  <si>
    <t>DESCRIPTION</t>
  </si>
  <si>
    <t>Auto-categorize transactions</t>
  </si>
  <si>
    <t>Connect to bank feed API — auto-matches transactions to COA</t>
  </si>
  <si>
    <t>Detect expense anomalies</t>
  </si>
  <si>
    <t>Flags variances &gt;50% from historical average per category</t>
  </si>
  <si>
    <t>Forecast 13-week cash flow</t>
  </si>
  <si>
    <t>Uses budget + AR/AP aging to project weekly cash position</t>
  </si>
  <si>
    <t>Analyze property performance</t>
  </si>
  <si>
    <t>Calculates ROI, DSCR, Cap Rate, Cash-on-Cash for all properties</t>
  </si>
  <si>
    <t>Score deals (0-100)</t>
  </si>
  <si>
    <t>Weighted scoring: margin 40%, DSCR 30%, cash flow 30%</t>
  </si>
  <si>
    <t>Prepare lender packages</t>
  </si>
  <si>
    <t>Generates formatted lender-ready financial summaries</t>
  </si>
  <si>
    <t>Prepare investor reports</t>
  </si>
  <si>
    <t>Generates distribution statements and portfolio reports</t>
  </si>
  <si>
    <t>Monitor KPI drift</t>
  </si>
  <si>
    <t>Alerts when KPIs deviate &gt;10% from targets</t>
  </si>
  <si>
    <t>Generate financial narratives</t>
  </si>
  <si>
    <t>Creates plain-English summaries of financial performance</t>
  </si>
  <si>
    <t>Simulate scenarios</t>
  </si>
  <si>
    <t>Models best/base/worst case scenarios for each property</t>
  </si>
  <si>
    <t>API INTEGRATION CONFIGURATION</t>
  </si>
  <si>
    <t>Function</t>
  </si>
  <si>
    <t>API_Endpoint</t>
  </si>
  <si>
    <t>Last_Run</t>
  </si>
  <si>
    <t>Transaction Categorization</t>
  </si>
  <si>
    <t>PLACEHOLDER — Configure API endpoint</t>
  </si>
  <si>
    <t>Anomaly Detection</t>
  </si>
  <si>
    <t>Cash Forecasting</t>
  </si>
  <si>
    <t>Deal Scoring</t>
  </si>
  <si>
    <t>Report Generation</t>
  </si>
  <si>
    <t>DYNASTY ACCOUNTING OS — KPI COMMAND CENTER</t>
  </si>
  <si>
    <t>CASH &amp; FINANCIAL METRICS</t>
  </si>
  <si>
    <t>CASH AVAILABLE</t>
  </si>
  <si>
    <t>MONTHLY REVENUE</t>
  </si>
  <si>
    <t>MONTHLY EXPENSES</t>
  </si>
  <si>
    <t>NET INCOME MTD</t>
  </si>
  <si>
    <t>Bank balance</t>
  </si>
  <si>
    <t>MTD revenue</t>
  </si>
  <si>
    <t>MTD expenses</t>
  </si>
  <si>
    <t>Revenue - Expenses</t>
  </si>
  <si>
    <t>REAL ESTATE PORTFOLIO METRICS</t>
  </si>
  <si>
    <t>ACTIVE PROPERTIES</t>
  </si>
  <si>
    <t>PORTFOLIO ARV</t>
  </si>
  <si>
    <t>PORTFOLIO EQUITY</t>
  </si>
  <si>
    <t>REHAB IN PROGRESS</t>
  </si>
  <si>
    <t>Count</t>
  </si>
  <si>
    <t>Total ARV</t>
  </si>
  <si>
    <t>ARV - Debt</t>
  </si>
  <si>
    <t>Properties</t>
  </si>
  <si>
    <t>OBLIGATIONS &amp; PIPELINE</t>
  </si>
  <si>
    <t>TOTAL DEBT</t>
  </si>
  <si>
    <t>MONTHLY DEBT SERVICE</t>
  </si>
  <si>
    <t>AP BALANCE</t>
  </si>
  <si>
    <t>AR BALANCE</t>
  </si>
  <si>
    <t>Mortgages + loans</t>
  </si>
  <si>
    <t>All loan payments</t>
  </si>
  <si>
    <t>Total owed to vendors</t>
  </si>
  <si>
    <t>Total owed to company</t>
  </si>
  <si>
    <t>DEAL PIPELINE</t>
  </si>
  <si>
    <t>FLIP PIPELINE</t>
  </si>
  <si>
    <t>BRRR PIPELINE</t>
  </si>
  <si>
    <t>MTD ASSIGN FEES</t>
  </si>
  <si>
    <t>$0</t>
  </si>
  <si>
    <t>$114K</t>
  </si>
  <si>
    <t>Active deals</t>
  </si>
  <si>
    <t>This month</t>
  </si>
  <si>
    <t>12-MONTH CASH FORECAST — FY 2026</t>
  </si>
  <si>
    <t>Expenses</t>
  </si>
  <si>
    <t>Jan 2026</t>
  </si>
  <si>
    <t>Rehab in progress</t>
  </si>
  <si>
    <t>Feb 2026</t>
  </si>
  <si>
    <t>Mar 2026</t>
  </si>
  <si>
    <t>Apr 2026</t>
  </si>
  <si>
    <t>Jun 2026</t>
  </si>
  <si>
    <t>Est. wholesale activity</t>
  </si>
  <si>
    <t>Jul 2026</t>
  </si>
  <si>
    <t>Aug 2026</t>
  </si>
  <si>
    <t>Sep 2026</t>
  </si>
  <si>
    <t>Oct 2026</t>
  </si>
  <si>
    <t>Projected</t>
  </si>
  <si>
    <t>Nov 2026</t>
  </si>
  <si>
    <t>Dec 2026</t>
  </si>
  <si>
    <t>NET WORTH TRACKER — Shylow Thompson LLC</t>
  </si>
  <si>
    <t>Cash_Total</t>
  </si>
  <si>
    <t>Property_Values</t>
  </si>
  <si>
    <t>Other_Assets</t>
  </si>
  <si>
    <t>Total_Assets</t>
  </si>
  <si>
    <t>Total_Liabilities</t>
  </si>
  <si>
    <t>Net_Worth</t>
  </si>
  <si>
    <t>Change</t>
  </si>
  <si>
    <t>Inception — Dynasty Accounting OS v1.0</t>
  </si>
  <si>
    <t>PORTFOLIO ANALYTICS — Dynasty Accounting OS</t>
  </si>
  <si>
    <t>PROPERTY PERFORMANCE TABLE</t>
  </si>
  <si>
    <t>B</t>
  </si>
  <si>
    <t>REVENUE MIX (YTD)</t>
  </si>
  <si>
    <t>Consulting/Other</t>
  </si>
  <si>
    <t>TOTAL REVENUE YTD</t>
  </si>
  <si>
    <t>PORTFOLIO KPIs</t>
  </si>
  <si>
    <t>Total Properties</t>
  </si>
  <si>
    <t>Total Portfolio ARV</t>
  </si>
  <si>
    <t>$200,000</t>
  </si>
  <si>
    <t>Total Debt</t>
  </si>
  <si>
    <t>$114,000</t>
  </si>
  <si>
    <t>Total Equity</t>
  </si>
  <si>
    <t>$86,000</t>
  </si>
  <si>
    <t>Avg Cap Rate</t>
  </si>
  <si>
    <t>0.0%</t>
  </si>
  <si>
    <t>Portfolio DSCR</t>
  </si>
  <si>
    <t>0.00x</t>
  </si>
  <si>
    <t>DYNASTY ACCOUNTING OS — EXECUTIVE SUMMARY REPORT</t>
  </si>
  <si>
    <t>Shylow Thompson LLC  |  Period: YTD 2026  |  Generated: 05/29/2026  |  Dynasty Accounting OS v1.0</t>
  </si>
  <si>
    <t>1. COMPANY OVERVIEW</t>
  </si>
  <si>
    <t xml:space="preserve">   Entity</t>
  </si>
  <si>
    <t>Shylow Thompson LLC — Real Estate Investment Company</t>
  </si>
  <si>
    <t xml:space="preserve">   State</t>
  </si>
  <si>
    <t xml:space="preserve">   Business Lines</t>
  </si>
  <si>
    <t>Wholesale, BRRR, Flip, Development, Rentals</t>
  </si>
  <si>
    <t xml:space="preserve">   Accounting System</t>
  </si>
  <si>
    <t>Dynasty Accounting OS v1.0 — Accrual Basis</t>
  </si>
  <si>
    <t xml:space="preserve">   Reporting Period</t>
  </si>
  <si>
    <t>January 1, 2026 — May 29, 2026</t>
  </si>
  <si>
    <t>2. FINANCIAL HIGHLIGHTS</t>
  </si>
  <si>
    <t xml:space="preserve">   Total Revenue YTD</t>
  </si>
  <si>
    <t>$500</t>
  </si>
  <si>
    <t xml:space="preserve">   Total Expenses YTD</t>
  </si>
  <si>
    <t>$11,799</t>
  </si>
  <si>
    <t xml:space="preserve">   Net Income YTD</t>
  </si>
  <si>
    <t>($11,299)</t>
  </si>
  <si>
    <t xml:space="preserve">   Cash Position</t>
  </si>
  <si>
    <t>$17,200</t>
  </si>
  <si>
    <t xml:space="preserve">   Note</t>
  </si>
  <si>
    <t>Net loss reflects startup + rehab investment phase — expected</t>
  </si>
  <si>
    <t>3. BALANCE SHEET SUMMARY</t>
  </si>
  <si>
    <t xml:space="preserve">   Total Assets</t>
  </si>
  <si>
    <t>$217,200</t>
  </si>
  <si>
    <t xml:space="preserve">   Total Liabilities</t>
  </si>
  <si>
    <t>$122,299</t>
  </si>
  <si>
    <t xml:space="preserve">   Net Worth / Equity</t>
  </si>
  <si>
    <t>$94,901</t>
  </si>
  <si>
    <t xml:space="preserve">   Primary Asset</t>
  </si>
  <si>
    <t>502 Buckley — ARV $200,000</t>
  </si>
  <si>
    <t>4. REAL ESTATE PORTFOLIO</t>
  </si>
  <si>
    <t xml:space="preserve">   Active Properties</t>
  </si>
  <si>
    <t>1 — 502 Buckley, St. Louis MO 63137</t>
  </si>
  <si>
    <t xml:space="preserve">   Status</t>
  </si>
  <si>
    <t>Active Rehabilitation</t>
  </si>
  <si>
    <t xml:space="preserve">   Purchase Price</t>
  </si>
  <si>
    <t xml:space="preserve">   Rehab Budget</t>
  </si>
  <si>
    <t>$90,000</t>
  </si>
  <si>
    <t xml:space="preserve">   Rehab Actual</t>
  </si>
  <si>
    <t>$11,500 (12.8% complete)</t>
  </si>
  <si>
    <t xml:space="preserve">   Estimated ARV</t>
  </si>
  <si>
    <t xml:space="preserve">   Exit Strategy</t>
  </si>
  <si>
    <t>BRRR — Refinance + Hold as Rental</t>
  </si>
  <si>
    <t>5. KEY RISKS &amp; OPPORTUNITIES</t>
  </si>
  <si>
    <t xml:space="preserve">   Risk 1</t>
  </si>
  <si>
    <t>Rehab cost overruns — monitor weekly vs 90K budget</t>
  </si>
  <si>
    <t xml:space="preserve">   Risk 2</t>
  </si>
  <si>
    <t>Cash position — 17K available vs 90K rehab remaining</t>
  </si>
  <si>
    <t xml:space="preserve">   Opportunity 1</t>
  </si>
  <si>
    <t>502 Buckley BRRR — est. $86K equity creation</t>
  </si>
  <si>
    <t xml:space="preserve">   Opportunity 2</t>
  </si>
  <si>
    <t>Wholesale pipeline — 0 active deals, needs marketing</t>
  </si>
  <si>
    <t>6. 90-DAY OUTLOOK</t>
  </si>
  <si>
    <t xml:space="preserve">   Rehab Completion Target</t>
  </si>
  <si>
    <t>August 2026 (est.)</t>
  </si>
  <si>
    <t xml:space="preserve">   Estimated Cash Need</t>
  </si>
  <si>
    <t>$78,500 additional rehab funding</t>
  </si>
  <si>
    <t xml:space="preserve">   Revenue Opportunity</t>
  </si>
  <si>
    <t>$10,000-$25,000 wholesale deals</t>
  </si>
  <si>
    <t xml:space="preserve">   Next Action</t>
  </si>
  <si>
    <t>Secure rehab financing / private lender capital</t>
  </si>
  <si>
    <t>DISCLAIMER: This report is for internal management use only. Generated by Dynasty Accounting OS v1.0 | Shylow Thompson LLC Confidential</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</si>
</sst>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quot;-&quot;"/>
    <numFmt numFmtId="165" formatCode="0.0%"/>
    <numFmt numFmtId="166" formatCode="0.00\x"/>
  </numFmts>
  <fonts count="20" x14ac:knownFonts="1">
    <font>
      <sz val="11"/>
      <color theme="1"/>
      <name val="Calibri"/>
      <family val="2"/>
      <scheme val="minor"/>
    </font>
    <font>
      <b/>
      <sz val="14"/>
      <color rgb="FFD4AF37"/>
      <name val="Arial"/>
    </font>
    <font>
      <b/>
      <sz val="10"/>
      <color rgb="FFD4AF37"/>
      <name val="Arial"/>
    </font>
    <font>
      <sz val="10"/>
      <color rgb="FF000000"/>
      <name val="Arial"/>
    </font>
    <font>
      <sz val="10"/>
      <color rgb="FF0000FF"/>
      <name val="Arial"/>
    </font>
    <font>
      <b/>
      <sz val="16"/>
      <color rgb="FFD4AF37"/>
      <name val="Arial"/>
    </font>
    <font>
      <b/>
      <sz val="11"/>
      <color rgb="FFD4AF37"/>
      <name val="Arial"/>
    </font>
    <font>
      <b/>
      <sz val="13"/>
      <color rgb="FFD4AF37"/>
      <name val="Arial"/>
    </font>
    <font>
      <b/>
      <sz val="10"/>
      <color rgb="FF000000"/>
      <name val="Arial"/>
    </font>
    <font>
      <b/>
      <sz val="11"/>
      <color rgb="FF000000"/>
      <name val="Arial"/>
    </font>
    <font>
      <b/>
      <sz val="12"/>
      <color rgb="FF000000"/>
      <name val="Arial"/>
    </font>
    <font>
      <b/>
      <sz val="12"/>
      <color rgb="FFD4AF37"/>
      <name val="Arial"/>
    </font>
    <font>
      <b/>
      <sz val="10"/>
      <color rgb="FFFF0000"/>
      <name val="Arial"/>
    </font>
    <font>
      <i/>
      <sz val="10"/>
      <color rgb="FF888888"/>
      <name val="Arial"/>
    </font>
    <font>
      <b/>
      <sz val="10"/>
      <color rgb="FFFFFFFF"/>
      <name val="Arial"/>
    </font>
    <font>
      <sz val="10"/>
      <color rgb="FF008000"/>
      <name val="Arial"/>
    </font>
    <font>
      <sz val="10"/>
      <color rgb="FFFF6600"/>
      <name val="Arial"/>
    </font>
    <font>
      <b/>
      <sz val="9"/>
      <color rgb="FF888888"/>
      <name val="Arial"/>
    </font>
    <font>
      <b/>
      <sz val="16"/>
      <color rgb="FF0000FF"/>
      <name val="Arial"/>
    </font>
    <font>
      <i/>
      <sz val="8"/>
      <color rgb="FF888888"/>
      <name val="Arial"/>
    </font>
  </fonts>
  <fills count="12">
    <fill>
      <patternFill patternType="none"/>
    </fill>
    <fill>
      <patternFill patternType="gray125"/>
    </fill>
    <fill>
      <patternFill patternType="solid">
        <fgColor rgb="FF1A2744"/>
      </patternFill>
    </fill>
    <fill>
      <patternFill patternType="solid">
        <fgColor rgb="FFFFFFFF"/>
      </patternFill>
    </fill>
    <fill>
      <patternFill patternType="solid">
        <fgColor rgb="FFF8F9FA"/>
      </patternFill>
    </fill>
    <fill>
      <patternFill patternType="solid">
        <fgColor rgb="FF2C3E50"/>
      </patternFill>
    </fill>
    <fill>
      <patternFill patternType="solid">
        <fgColor rgb="FFE3F2FD"/>
      </patternFill>
    </fill>
    <fill>
      <patternFill patternType="solid">
        <fgColor rgb="FFFCE4EC"/>
      </patternFill>
    </fill>
    <fill>
      <patternFill patternType="solid">
        <fgColor rgb="FFF3E5F5"/>
      </patternFill>
    </fill>
    <fill>
      <patternFill patternType="solid">
        <fgColor rgb="FFE8F5E9"/>
      </patternFill>
    </fill>
    <fill>
      <patternFill patternType="solid">
        <fgColor rgb="FFFFF8E1"/>
      </patternFill>
    </fill>
    <fill>
      <patternFill patternType="solid">
        <fgColor rgb="FFFBE9E7"/>
      </patternFill>
    </fill>
  </fills>
  <borders count="6">
    <border>
      <left/>
      <right/>
      <top/>
      <bottom/>
      <diagonal/>
    </border>
    <border>
      <left style="thin">
        <color rgb="FFCCCCCC"/>
      </left>
      <right style="thin">
        <color rgb="FFCCCCCC"/>
      </right>
      <top style="thin">
        <color rgb="FFCCCCCC"/>
      </top>
      <bottom style="thin">
        <color rgb="FFCCCCCC"/>
      </bottom>
      <diagonal/>
    </border>
    <border>
      <left/>
      <right/>
      <top style="thin">
        <color rgb="FF000000"/>
      </top>
      <bottom style="double">
        <color rgb="FF000000"/>
      </bottom>
      <diagonal/>
    </border>
    <border>
      <left/>
      <right/>
      <top style="double">
        <color rgb="FF000000"/>
      </top>
      <bottom style="double">
        <color rgb="FF000000"/>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116">
    <xf numFmtId="0" fontId="0" fillId="0" borderId="0" xfId="0"/>
    <xf numFmtId="0" fontId="2" fillId="2" borderId="1" xfId="0" applyFont="1" applyFill="1" applyBorder="1" applyAlignment="1">
      <alignment horizontal="center" vertical="center" wrapText="1"/>
    </xf>
    <xf numFmtId="0" fontId="3" fillId="3" borderId="1" xfId="0" applyFont="1" applyFill="1" applyBorder="1"/>
    <xf numFmtId="0" fontId="4" fillId="3" borderId="1" xfId="0" applyFont="1" applyFill="1" applyBorder="1"/>
    <xf numFmtId="0" fontId="3" fillId="4" borderId="1" xfId="0" applyFont="1" applyFill="1" applyBorder="1"/>
    <xf numFmtId="0" fontId="4" fillId="4" borderId="1" xfId="0" applyFont="1" applyFill="1" applyBorder="1"/>
    <xf numFmtId="0" fontId="8" fillId="6" borderId="1" xfId="0" applyFont="1" applyFill="1" applyBorder="1" applyAlignment="1">
      <alignment horizontal="center" vertical="center" wrapText="1"/>
    </xf>
    <xf numFmtId="0" fontId="3" fillId="6" borderId="1" xfId="0" applyFont="1" applyFill="1" applyBorder="1"/>
    <xf numFmtId="0" fontId="8" fillId="7" borderId="1" xfId="0" applyFont="1" applyFill="1" applyBorder="1" applyAlignment="1">
      <alignment horizontal="center" vertical="center" wrapText="1"/>
    </xf>
    <xf numFmtId="0" fontId="3" fillId="7" borderId="1" xfId="0" applyFont="1" applyFill="1" applyBorder="1"/>
    <xf numFmtId="0" fontId="8" fillId="8" borderId="1" xfId="0" applyFont="1" applyFill="1" applyBorder="1" applyAlignment="1">
      <alignment horizontal="center" vertical="center" wrapText="1"/>
    </xf>
    <xf numFmtId="0" fontId="3" fillId="8" borderId="1" xfId="0" applyFont="1" applyFill="1" applyBorder="1"/>
    <xf numFmtId="0" fontId="8" fillId="9" borderId="1" xfId="0" applyFont="1" applyFill="1" applyBorder="1" applyAlignment="1">
      <alignment horizontal="center" vertical="center" wrapText="1"/>
    </xf>
    <xf numFmtId="0" fontId="3" fillId="9" borderId="1" xfId="0" applyFont="1" applyFill="1" applyBorder="1"/>
    <xf numFmtId="0" fontId="8" fillId="10" borderId="1" xfId="0" applyFont="1" applyFill="1" applyBorder="1" applyAlignment="1">
      <alignment horizontal="center" vertical="center" wrapText="1"/>
    </xf>
    <xf numFmtId="0" fontId="3" fillId="10" borderId="1" xfId="0" applyFont="1" applyFill="1" applyBorder="1"/>
    <xf numFmtId="0" fontId="8" fillId="11" borderId="1" xfId="0" applyFont="1" applyFill="1" applyBorder="1" applyAlignment="1">
      <alignment horizontal="center" vertical="center" wrapText="1"/>
    </xf>
    <xf numFmtId="0" fontId="3" fillId="11" borderId="1" xfId="0" applyFont="1" applyFill="1" applyBorder="1"/>
    <xf numFmtId="164" fontId="4" fillId="3" borderId="1" xfId="0" applyNumberFormat="1" applyFont="1" applyFill="1" applyBorder="1" applyAlignment="1">
      <alignment horizontal="right" vertical="center"/>
    </xf>
    <xf numFmtId="164" fontId="4" fillId="4" borderId="1" xfId="0" applyNumberFormat="1" applyFont="1" applyFill="1" applyBorder="1" applyAlignment="1">
      <alignment horizontal="right" vertical="center"/>
    </xf>
    <xf numFmtId="0" fontId="8" fillId="0" borderId="0" xfId="0" applyFont="1"/>
    <xf numFmtId="164" fontId="8" fillId="0" borderId="0" xfId="0" applyNumberFormat="1" applyFont="1"/>
    <xf numFmtId="0" fontId="4" fillId="0" borderId="0" xfId="0" applyFont="1"/>
    <xf numFmtId="164" fontId="3" fillId="3" borderId="1" xfId="0" applyNumberFormat="1" applyFont="1" applyFill="1" applyBorder="1"/>
    <xf numFmtId="164" fontId="3" fillId="4" borderId="1" xfId="0" applyNumberFormat="1" applyFont="1" applyFill="1" applyBorder="1"/>
    <xf numFmtId="0" fontId="2" fillId="2" borderId="0" xfId="0" applyFont="1" applyFill="1"/>
    <xf numFmtId="164" fontId="2" fillId="2" borderId="0" xfId="0" applyNumberFormat="1" applyFont="1" applyFill="1"/>
    <xf numFmtId="0" fontId="6" fillId="2" borderId="0" xfId="0" applyFont="1" applyFill="1"/>
    <xf numFmtId="0" fontId="0" fillId="3" borderId="1" xfId="0" applyFill="1" applyBorder="1"/>
    <xf numFmtId="0" fontId="0" fillId="4" borderId="1" xfId="0" applyFill="1" applyBorder="1"/>
    <xf numFmtId="164" fontId="8" fillId="0" borderId="2" xfId="0" applyNumberFormat="1" applyFont="1" applyBorder="1" applyAlignment="1">
      <alignment horizontal="right" vertical="center"/>
    </xf>
    <xf numFmtId="0" fontId="9" fillId="0" borderId="0" xfId="0" applyFont="1"/>
    <xf numFmtId="164" fontId="9" fillId="0" borderId="3" xfId="0" applyNumberFormat="1" applyFont="1" applyBorder="1" applyAlignment="1">
      <alignment horizontal="right" vertical="center"/>
    </xf>
    <xf numFmtId="164" fontId="8" fillId="0" borderId="0" xfId="0" applyNumberFormat="1" applyFont="1" applyAlignment="1">
      <alignment horizontal="right" vertical="center"/>
    </xf>
    <xf numFmtId="164" fontId="9" fillId="0" borderId="0" xfId="0" applyNumberFormat="1" applyFont="1" applyAlignment="1">
      <alignment horizontal="right" vertical="center"/>
    </xf>
    <xf numFmtId="164" fontId="3" fillId="4" borderId="1" xfId="0" applyNumberFormat="1" applyFont="1" applyFill="1" applyBorder="1" applyAlignment="1">
      <alignment horizontal="right" vertical="center"/>
    </xf>
    <xf numFmtId="164" fontId="3" fillId="3" borderId="1" xfId="0" applyNumberFormat="1" applyFont="1" applyFill="1" applyBorder="1" applyAlignment="1">
      <alignment horizontal="right" vertical="center"/>
    </xf>
    <xf numFmtId="0" fontId="3" fillId="0" borderId="0" xfId="0" applyFont="1"/>
    <xf numFmtId="165" fontId="3" fillId="0" borderId="0" xfId="0" applyNumberFormat="1" applyFont="1" applyAlignment="1">
      <alignment horizontal="right" vertical="center"/>
    </xf>
    <xf numFmtId="0" fontId="10" fillId="0" borderId="0" xfId="0" applyFont="1"/>
    <xf numFmtId="164" fontId="10" fillId="0" borderId="3" xfId="0" applyNumberFormat="1" applyFont="1" applyBorder="1" applyAlignment="1">
      <alignment horizontal="right" vertical="center"/>
    </xf>
    <xf numFmtId="164" fontId="4" fillId="0" borderId="0" xfId="0" applyNumberFormat="1" applyFont="1" applyAlignment="1">
      <alignment horizontal="right" vertical="center"/>
    </xf>
    <xf numFmtId="164" fontId="8" fillId="3" borderId="1" xfId="0" applyNumberFormat="1" applyFont="1" applyFill="1" applyBorder="1" applyAlignment="1">
      <alignment horizontal="right" vertical="center"/>
    </xf>
    <xf numFmtId="164" fontId="8" fillId="4" borderId="1" xfId="0" applyNumberFormat="1" applyFont="1" applyFill="1" applyBorder="1" applyAlignment="1">
      <alignment horizontal="right" vertical="center"/>
    </xf>
    <xf numFmtId="165" fontId="3" fillId="3" borderId="1" xfId="0" applyNumberFormat="1" applyFont="1" applyFill="1" applyBorder="1" applyAlignment="1">
      <alignment horizontal="right" vertical="center"/>
    </xf>
    <xf numFmtId="165" fontId="3" fillId="4" borderId="1" xfId="0" applyNumberFormat="1" applyFont="1" applyFill="1" applyBorder="1" applyAlignment="1">
      <alignment horizontal="right" vertical="center"/>
    </xf>
    <xf numFmtId="0" fontId="3" fillId="0" borderId="1" xfId="0" applyFont="1" applyBorder="1"/>
    <xf numFmtId="0" fontId="0" fillId="0" borderId="1" xfId="0" applyBorder="1"/>
    <xf numFmtId="164" fontId="4" fillId="0" borderId="1" xfId="0" applyNumberFormat="1" applyFont="1" applyBorder="1" applyAlignment="1">
      <alignment horizontal="right" vertical="center"/>
    </xf>
    <xf numFmtId="0" fontId="8" fillId="0" borderId="1" xfId="0" applyFont="1" applyBorder="1"/>
    <xf numFmtId="164" fontId="8" fillId="0" borderId="1" xfId="0" applyNumberFormat="1" applyFont="1" applyBorder="1" applyAlignment="1">
      <alignment horizontal="right" vertical="center"/>
    </xf>
    <xf numFmtId="0" fontId="9" fillId="0" borderId="1" xfId="0" applyFont="1" applyBorder="1"/>
    <xf numFmtId="164" fontId="9" fillId="9" borderId="1" xfId="0" applyNumberFormat="1" applyFont="1" applyFill="1" applyBorder="1" applyAlignment="1">
      <alignment horizontal="right" vertical="center"/>
    </xf>
    <xf numFmtId="164" fontId="2" fillId="2" borderId="1" xfId="0" applyNumberFormat="1" applyFont="1" applyFill="1" applyBorder="1" applyAlignment="1">
      <alignment horizontal="right" vertical="center"/>
    </xf>
    <xf numFmtId="166" fontId="3" fillId="3" borderId="1" xfId="0" applyNumberFormat="1" applyFont="1" applyFill="1" applyBorder="1" applyAlignment="1">
      <alignment horizontal="right" vertical="center"/>
    </xf>
    <xf numFmtId="0" fontId="8" fillId="4" borderId="1" xfId="0" applyFont="1" applyFill="1" applyBorder="1"/>
    <xf numFmtId="0" fontId="8" fillId="3" borderId="1" xfId="0" applyFont="1" applyFill="1" applyBorder="1"/>
    <xf numFmtId="9" fontId="4" fillId="3" borderId="1" xfId="0" applyNumberFormat="1" applyFont="1" applyFill="1" applyBorder="1" applyAlignment="1">
      <alignment horizontal="right" vertical="center"/>
    </xf>
    <xf numFmtId="9" fontId="4" fillId="4" borderId="1" xfId="0" applyNumberFormat="1" applyFont="1" applyFill="1" applyBorder="1" applyAlignment="1">
      <alignment horizontal="right" vertical="center"/>
    </xf>
    <xf numFmtId="164" fontId="6" fillId="2" borderId="1" xfId="0" applyNumberFormat="1" applyFont="1" applyFill="1" applyBorder="1" applyAlignment="1">
      <alignment horizontal="right" vertical="center"/>
    </xf>
    <xf numFmtId="0" fontId="12" fillId="3" borderId="1" xfId="0" applyFont="1" applyFill="1" applyBorder="1"/>
    <xf numFmtId="164" fontId="4" fillId="3" borderId="1" xfId="0" applyNumberFormat="1" applyFont="1" applyFill="1" applyBorder="1"/>
    <xf numFmtId="0" fontId="4" fillId="3" borderId="1" xfId="0" applyFont="1" applyFill="1" applyBorder="1" applyAlignment="1">
      <alignment horizontal="right" vertical="center"/>
    </xf>
    <xf numFmtId="0" fontId="4" fillId="4" borderId="1" xfId="0" applyFont="1" applyFill="1" applyBorder="1" applyAlignment="1">
      <alignment horizontal="right" vertical="center"/>
    </xf>
    <xf numFmtId="164" fontId="2" fillId="5" borderId="1" xfId="0" applyNumberFormat="1" applyFont="1" applyFill="1" applyBorder="1" applyAlignment="1">
      <alignment horizontal="right" vertical="center"/>
    </xf>
    <xf numFmtId="165" fontId="2" fillId="5" borderId="1" xfId="0" applyNumberFormat="1" applyFont="1" applyFill="1" applyBorder="1" applyAlignment="1">
      <alignment horizontal="right" vertical="center"/>
    </xf>
    <xf numFmtId="0" fontId="2" fillId="5" borderId="1" xfId="0" applyFont="1" applyFill="1" applyBorder="1" applyAlignment="1">
      <alignment horizontal="right" vertical="center"/>
    </xf>
    <xf numFmtId="165" fontId="4" fillId="3" borderId="1" xfId="0" applyNumberFormat="1" applyFont="1" applyFill="1" applyBorder="1" applyAlignment="1">
      <alignment horizontal="right" vertical="center"/>
    </xf>
    <xf numFmtId="165" fontId="4" fillId="4" borderId="1" xfId="0" applyNumberFormat="1" applyFont="1" applyFill="1" applyBorder="1" applyAlignment="1">
      <alignment horizontal="right" vertical="center"/>
    </xf>
    <xf numFmtId="166" fontId="2" fillId="5" borderId="1" xfId="0" applyNumberFormat="1" applyFont="1" applyFill="1" applyBorder="1" applyAlignment="1">
      <alignment horizontal="right" vertical="center"/>
    </xf>
    <xf numFmtId="0" fontId="2" fillId="2" borderId="1" xfId="0" applyFont="1" applyFill="1" applyBorder="1"/>
    <xf numFmtId="0" fontId="0" fillId="2" borderId="1" xfId="0" applyFill="1" applyBorder="1"/>
    <xf numFmtId="1" fontId="3" fillId="3" borderId="1" xfId="0" applyNumberFormat="1" applyFont="1" applyFill="1" applyBorder="1"/>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164" fontId="15" fillId="4" borderId="1" xfId="0" applyNumberFormat="1" applyFont="1" applyFill="1" applyBorder="1" applyAlignment="1">
      <alignment horizontal="right" vertical="center"/>
    </xf>
    <xf numFmtId="164" fontId="15" fillId="3" borderId="1" xfId="0" applyNumberFormat="1" applyFont="1" applyFill="1" applyBorder="1" applyAlignment="1">
      <alignment horizontal="right" vertical="center"/>
    </xf>
    <xf numFmtId="0" fontId="16" fillId="3" borderId="1" xfId="0" applyFont="1" applyFill="1" applyBorder="1"/>
    <xf numFmtId="0" fontId="16" fillId="4" borderId="1" xfId="0" applyFont="1" applyFill="1" applyBorder="1"/>
    <xf numFmtId="166" fontId="4" fillId="3" borderId="1" xfId="0" applyNumberFormat="1" applyFont="1" applyFill="1" applyBorder="1" applyAlignment="1">
      <alignment horizontal="right" vertical="center"/>
    </xf>
    <xf numFmtId="0" fontId="1" fillId="2" borderId="0" xfId="0" applyFont="1" applyFill="1" applyAlignment="1">
      <alignment horizontal="center" vertical="center" wrapText="1"/>
    </xf>
    <xf numFmtId="0" fontId="0" fillId="0" borderId="0" xfId="0"/>
    <xf numFmtId="0" fontId="6" fillId="5" borderId="0" xfId="0" applyFont="1" applyFill="1" applyAlignment="1">
      <alignment horizontal="center" vertical="center" wrapText="1"/>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0" borderId="0" xfId="0" applyFont="1"/>
    <xf numFmtId="0" fontId="2" fillId="2" borderId="0" xfId="0" applyFont="1" applyFill="1"/>
    <xf numFmtId="0" fontId="2" fillId="5" borderId="0" xfId="0" applyFont="1" applyFill="1" applyAlignment="1">
      <alignment horizontal="left" vertical="center" wrapText="1"/>
    </xf>
    <xf numFmtId="0" fontId="3" fillId="4" borderId="1" xfId="0" applyFont="1" applyFill="1" applyBorder="1"/>
    <xf numFmtId="0" fontId="0" fillId="0" borderId="4" xfId="0" applyBorder="1"/>
    <xf numFmtId="0" fontId="0" fillId="0" borderId="5" xfId="0" applyBorder="1"/>
    <xf numFmtId="0" fontId="6" fillId="2" borderId="0" xfId="0" applyFont="1" applyFill="1"/>
    <xf numFmtId="0" fontId="11" fillId="2" borderId="0" xfId="0" applyFont="1" applyFill="1" applyAlignment="1">
      <alignment horizontal="center" vertical="center" wrapText="1"/>
    </xf>
    <xf numFmtId="0" fontId="13" fillId="0" borderId="0" xfId="0" applyFont="1"/>
    <xf numFmtId="0" fontId="2" fillId="2" borderId="0" xfId="0" applyFont="1" applyFill="1" applyAlignment="1">
      <alignment horizontal="left" vertical="center" wrapText="1"/>
    </xf>
    <xf numFmtId="0" fontId="3" fillId="3" borderId="1" xfId="0" applyFont="1" applyFill="1" applyBorder="1"/>
    <xf numFmtId="0" fontId="0" fillId="3" borderId="1" xfId="0" applyFill="1" applyBorder="1"/>
    <xf numFmtId="0" fontId="0" fillId="4" borderId="1" xfId="0" applyFill="1" applyBorder="1"/>
    <xf numFmtId="0" fontId="14" fillId="5" borderId="1" xfId="0" applyFont="1" applyFill="1" applyBorder="1"/>
    <xf numFmtId="0" fontId="0" fillId="5" borderId="1" xfId="0" applyFill="1" applyBorder="1"/>
    <xf numFmtId="0" fontId="2" fillId="5" borderId="1" xfId="0" applyFont="1" applyFill="1" applyBorder="1"/>
    <xf numFmtId="0" fontId="0" fillId="0" borderId="1" xfId="0" applyBorder="1"/>
    <xf numFmtId="0" fontId="3" fillId="4" borderId="0" xfId="0" applyFont="1" applyFill="1" applyAlignment="1">
      <alignment horizontal="left" vertical="center" wrapText="1"/>
    </xf>
    <xf numFmtId="0" fontId="13" fillId="4" borderId="0" xfId="0" applyFont="1" applyFill="1" applyAlignment="1">
      <alignment horizontal="left" vertical="center" wrapText="1"/>
    </xf>
    <xf numFmtId="0" fontId="8" fillId="3"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19" fillId="4" borderId="1" xfId="0" applyFont="1" applyFill="1" applyBorder="1" applyAlignment="1">
      <alignment horizontal="center" vertical="center" wrapText="1"/>
    </xf>
    <xf numFmtId="164" fontId="18" fillId="3" borderId="1" xfId="0" applyNumberFormat="1" applyFont="1" applyFill="1" applyBorder="1" applyAlignment="1">
      <alignment horizontal="center" vertical="center" wrapText="1"/>
    </xf>
    <xf numFmtId="0" fontId="17" fillId="5" borderId="1" xfId="0" applyFont="1" applyFill="1" applyBorder="1" applyAlignment="1">
      <alignment horizontal="center" vertical="center" wrapText="1"/>
    </xf>
    <xf numFmtId="0" fontId="18" fillId="3" borderId="1" xfId="0" applyFont="1" applyFill="1" applyBorder="1" applyAlignment="1">
      <alignment horizontal="center" vertical="center" wrapText="1"/>
    </xf>
    <xf numFmtId="0" fontId="19" fillId="4" borderId="0" xfId="0" applyFont="1" applyFill="1" applyAlignment="1">
      <alignment horizontal="center" vertical="center" wrapText="1"/>
    </xf>
    <xf numFmtId="0" fontId="6" fillId="5" borderId="1" xfId="0" applyFont="1" applyFill="1" applyBorder="1" applyAlignment="1">
      <alignment horizontal="left" vertical="center" wrapText="1"/>
    </xf>
    <xf numFmtId="0" fontId="13" fillId="4"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04040"/>
  </sheetPr>
  <dimension ref="A1:D15"/>
  <sheetViews>
    <sheetView workbookViewId="0">
      <pane ySplit="3" topLeftCell="A4" activePane="bottomLeft" state="frozen"/>
      <selection pane="bottomLeft" sqref="A1:D1"/>
    </sheetView>
  </sheetViews>
  <sheetFormatPr defaultRowHeight="15" x14ac:dyDescent="0.25"/>
  <cols>
    <col min="1" max="2" width="30" customWidth="1"/>
    <col min="3" max="3" width="40" customWidth="1"/>
    <col min="4" max="4" width="15" customWidth="1"/>
  </cols>
  <sheetData>
    <row r="1" spans="1:4" ht="30" customHeight="1" x14ac:dyDescent="0.25">
      <c r="A1" s="80" t="s">
        <v>0</v>
      </c>
      <c r="B1" s="81"/>
      <c r="C1" s="81"/>
      <c r="D1" s="81"/>
    </row>
    <row r="2" spans="1:4" ht="8.1" customHeight="1" x14ac:dyDescent="0.25"/>
    <row r="3" spans="1:4" x14ac:dyDescent="0.25">
      <c r="A3" s="1" t="s">
        <v>1</v>
      </c>
      <c r="B3" s="1" t="s">
        <v>2</v>
      </c>
      <c r="C3" s="1" t="s">
        <v>3</v>
      </c>
    </row>
    <row r="4" spans="1:4" x14ac:dyDescent="0.25">
      <c r="A4" s="2" t="s">
        <v>4</v>
      </c>
      <c r="B4" s="3" t="s">
        <v>5</v>
      </c>
      <c r="C4" s="2"/>
    </row>
    <row r="5" spans="1:4" x14ac:dyDescent="0.25">
      <c r="A5" s="4" t="s">
        <v>6</v>
      </c>
      <c r="B5" s="5" t="s">
        <v>5</v>
      </c>
      <c r="C5" s="4"/>
    </row>
    <row r="6" spans="1:4" x14ac:dyDescent="0.25">
      <c r="A6" s="2" t="s">
        <v>7</v>
      </c>
      <c r="B6" s="3" t="s">
        <v>8</v>
      </c>
      <c r="C6" s="2"/>
    </row>
    <row r="7" spans="1:4" x14ac:dyDescent="0.25">
      <c r="A7" s="4" t="s">
        <v>9</v>
      </c>
      <c r="B7" s="5" t="s">
        <v>10</v>
      </c>
      <c r="C7" s="4"/>
    </row>
    <row r="8" spans="1:4" x14ac:dyDescent="0.25">
      <c r="A8" s="2" t="s">
        <v>11</v>
      </c>
      <c r="B8" s="3" t="s">
        <v>12</v>
      </c>
      <c r="C8" s="2" t="s">
        <v>13</v>
      </c>
    </row>
    <row r="9" spans="1:4" x14ac:dyDescent="0.25">
      <c r="A9" s="4" t="s">
        <v>14</v>
      </c>
      <c r="B9" s="5" t="s">
        <v>15</v>
      </c>
      <c r="C9" s="4"/>
    </row>
    <row r="10" spans="1:4" x14ac:dyDescent="0.25">
      <c r="A10" s="2" t="s">
        <v>16</v>
      </c>
      <c r="B10" s="3" t="s">
        <v>17</v>
      </c>
      <c r="C10" s="2"/>
    </row>
    <row r="11" spans="1:4" x14ac:dyDescent="0.25">
      <c r="A11" s="4" t="s">
        <v>18</v>
      </c>
      <c r="B11" s="5" t="s">
        <v>19</v>
      </c>
      <c r="C11" s="4"/>
    </row>
    <row r="12" spans="1:4" x14ac:dyDescent="0.25">
      <c r="A12" s="2" t="s">
        <v>20</v>
      </c>
      <c r="B12" s="3" t="s">
        <v>10</v>
      </c>
      <c r="C12" s="2"/>
    </row>
    <row r="13" spans="1:4" x14ac:dyDescent="0.25">
      <c r="A13" s="4" t="s">
        <v>21</v>
      </c>
      <c r="B13" s="5" t="s">
        <v>22</v>
      </c>
      <c r="C13" s="4" t="s">
        <v>23</v>
      </c>
    </row>
    <row r="14" spans="1:4" x14ac:dyDescent="0.25">
      <c r="A14" s="2" t="s">
        <v>24</v>
      </c>
      <c r="B14" s="3" t="s">
        <v>25</v>
      </c>
      <c r="C14" s="2"/>
    </row>
    <row r="15" spans="1:4" x14ac:dyDescent="0.25">
      <c r="A15" s="4" t="s">
        <v>26</v>
      </c>
      <c r="B15" s="5" t="s">
        <v>27</v>
      </c>
      <c r="C15" s="4"/>
    </row>
  </sheetData>
  <mergeCells count="1">
    <mergeCell ref="A1:D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04040"/>
  </sheetPr>
  <dimension ref="A1:H6"/>
  <sheetViews>
    <sheetView workbookViewId="0">
      <pane ySplit="3" topLeftCell="A4" activePane="bottomLeft" state="frozen"/>
      <selection pane="bottomLeft" sqref="A1:H1"/>
    </sheetView>
  </sheetViews>
  <sheetFormatPr defaultRowHeight="15" x14ac:dyDescent="0.25"/>
  <cols>
    <col min="1" max="1" width="10" customWidth="1"/>
    <col min="2" max="2" width="22" customWidth="1"/>
    <col min="3" max="3" width="20" customWidth="1"/>
    <col min="4" max="4" width="25" customWidth="1"/>
    <col min="5" max="5" width="18" customWidth="1"/>
    <col min="6" max="6" width="14" customWidth="1"/>
    <col min="7" max="7" width="10" customWidth="1"/>
    <col min="8" max="8" width="25" customWidth="1"/>
  </cols>
  <sheetData>
    <row r="1" spans="1:8" ht="30" customHeight="1" x14ac:dyDescent="0.25">
      <c r="A1" s="80" t="s">
        <v>28</v>
      </c>
      <c r="B1" s="81"/>
      <c r="C1" s="81"/>
      <c r="D1" s="81"/>
      <c r="E1" s="81"/>
      <c r="F1" s="81"/>
      <c r="G1" s="81"/>
      <c r="H1" s="81"/>
    </row>
    <row r="2" spans="1:8" ht="8.1" customHeight="1" x14ac:dyDescent="0.25"/>
    <row r="3" spans="1:8" x14ac:dyDescent="0.25">
      <c r="A3" s="1" t="s">
        <v>29</v>
      </c>
      <c r="B3" s="1" t="s">
        <v>30</v>
      </c>
      <c r="C3" s="1" t="s">
        <v>31</v>
      </c>
      <c r="D3" s="1" t="s">
        <v>32</v>
      </c>
      <c r="E3" s="1" t="s">
        <v>33</v>
      </c>
      <c r="F3" s="1" t="s">
        <v>34</v>
      </c>
      <c r="G3" s="1" t="s">
        <v>35</v>
      </c>
      <c r="H3" s="1" t="s">
        <v>3</v>
      </c>
    </row>
    <row r="4" spans="1:8" x14ac:dyDescent="0.25">
      <c r="A4" s="3" t="s">
        <v>36</v>
      </c>
      <c r="B4" s="3" t="s">
        <v>37</v>
      </c>
      <c r="C4" s="3" t="s">
        <v>38</v>
      </c>
      <c r="D4" s="3" t="s">
        <v>39</v>
      </c>
      <c r="E4" s="3" t="s">
        <v>40</v>
      </c>
      <c r="F4" s="2" t="s">
        <v>19</v>
      </c>
      <c r="G4" s="3" t="s">
        <v>41</v>
      </c>
      <c r="H4" s="2" t="s">
        <v>42</v>
      </c>
    </row>
    <row r="5" spans="1:8" x14ac:dyDescent="0.25">
      <c r="A5" s="5" t="s">
        <v>43</v>
      </c>
      <c r="B5" s="5" t="s">
        <v>44</v>
      </c>
      <c r="C5" s="5" t="s">
        <v>45</v>
      </c>
      <c r="D5" s="5" t="s">
        <v>5</v>
      </c>
      <c r="E5" s="5" t="s">
        <v>46</v>
      </c>
      <c r="F5" s="4"/>
      <c r="G5" s="5" t="s">
        <v>41</v>
      </c>
      <c r="H5" s="4"/>
    </row>
    <row r="6" spans="1:8" x14ac:dyDescent="0.25">
      <c r="A6" s="3" t="s">
        <v>47</v>
      </c>
      <c r="B6" s="3" t="s">
        <v>48</v>
      </c>
      <c r="C6" s="3" t="s">
        <v>49</v>
      </c>
      <c r="D6" s="3" t="s">
        <v>50</v>
      </c>
      <c r="E6" s="3" t="s">
        <v>51</v>
      </c>
      <c r="F6" s="2"/>
      <c r="G6" s="3" t="s">
        <v>41</v>
      </c>
      <c r="H6" s="2"/>
    </row>
  </sheetData>
  <mergeCells count="1">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04040"/>
  </sheetPr>
  <dimension ref="A1:J5"/>
  <sheetViews>
    <sheetView workbookViewId="0">
      <pane ySplit="3" topLeftCell="A4" activePane="bottomLeft" state="frozen"/>
      <selection pane="bottomLeft" sqref="A1:J1"/>
    </sheetView>
  </sheetViews>
  <sheetFormatPr defaultRowHeight="15" x14ac:dyDescent="0.25"/>
  <cols>
    <col min="1" max="1" width="10" customWidth="1"/>
    <col min="2" max="2" width="18" customWidth="1"/>
    <col min="3" max="3" width="10" customWidth="1"/>
    <col min="4" max="4" width="20" customWidth="1"/>
    <col min="5" max="5" width="22" customWidth="1"/>
    <col min="6" max="6" width="14" customWidth="1"/>
    <col min="7" max="8" width="20" customWidth="1"/>
    <col min="9" max="9" width="15" customWidth="1"/>
    <col min="10" max="10" width="35" customWidth="1"/>
  </cols>
  <sheetData>
    <row r="1" spans="1:10" ht="30" customHeight="1" x14ac:dyDescent="0.25">
      <c r="A1" s="80" t="s">
        <v>52</v>
      </c>
      <c r="B1" s="81"/>
      <c r="C1" s="81"/>
      <c r="D1" s="81"/>
      <c r="E1" s="81"/>
      <c r="F1" s="81"/>
      <c r="G1" s="81"/>
      <c r="H1" s="81"/>
      <c r="I1" s="81"/>
      <c r="J1" s="81"/>
    </row>
    <row r="2" spans="1:10" ht="8.1" customHeight="1" x14ac:dyDescent="0.25"/>
    <row r="3" spans="1:10" ht="25.5" x14ac:dyDescent="0.25">
      <c r="A3" s="1" t="s">
        <v>53</v>
      </c>
      <c r="B3" s="1" t="s">
        <v>54</v>
      </c>
      <c r="C3" s="1" t="s">
        <v>29</v>
      </c>
      <c r="D3" s="1" t="s">
        <v>55</v>
      </c>
      <c r="E3" s="1" t="s">
        <v>56</v>
      </c>
      <c r="F3" s="1" t="s">
        <v>57</v>
      </c>
      <c r="G3" s="1" t="s">
        <v>58</v>
      </c>
      <c r="H3" s="1" t="s">
        <v>59</v>
      </c>
      <c r="I3" s="1" t="s">
        <v>60</v>
      </c>
      <c r="J3" s="1" t="s">
        <v>3</v>
      </c>
    </row>
    <row r="4" spans="1:10" x14ac:dyDescent="0.25">
      <c r="A4" s="2" t="s">
        <v>61</v>
      </c>
      <c r="B4" s="2" t="s">
        <v>62</v>
      </c>
      <c r="C4" s="2" t="s">
        <v>36</v>
      </c>
      <c r="D4" s="2" t="s">
        <v>37</v>
      </c>
      <c r="E4" s="2" t="s">
        <v>63</v>
      </c>
      <c r="F4" s="2" t="s">
        <v>64</v>
      </c>
      <c r="G4" s="2"/>
      <c r="H4" s="2" t="s">
        <v>5</v>
      </c>
      <c r="I4" s="2" t="s">
        <v>65</v>
      </c>
      <c r="J4" s="2" t="s">
        <v>66</v>
      </c>
    </row>
    <row r="5" spans="1:10" x14ac:dyDescent="0.25">
      <c r="A5" s="4" t="s">
        <v>67</v>
      </c>
      <c r="B5" s="4" t="s">
        <v>68</v>
      </c>
      <c r="C5" s="4" t="s">
        <v>36</v>
      </c>
      <c r="D5" s="4" t="s">
        <v>37</v>
      </c>
      <c r="E5" s="4" t="s">
        <v>69</v>
      </c>
      <c r="F5" s="4" t="s">
        <v>64</v>
      </c>
      <c r="G5" s="4"/>
      <c r="H5" s="4" t="s">
        <v>70</v>
      </c>
      <c r="I5" s="4" t="s">
        <v>71</v>
      </c>
      <c r="J5" s="4" t="s">
        <v>72</v>
      </c>
    </row>
  </sheetData>
  <mergeCells count="1">
    <mergeCell ref="A1:J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04040"/>
  </sheetPr>
  <dimension ref="A1:J7"/>
  <sheetViews>
    <sheetView workbookViewId="0">
      <pane ySplit="3" topLeftCell="A4" activePane="bottomLeft" state="frozen"/>
      <selection pane="bottomLeft" sqref="A1:J1"/>
    </sheetView>
  </sheetViews>
  <sheetFormatPr defaultRowHeight="15" x14ac:dyDescent="0.25"/>
  <cols>
    <col min="1" max="1" width="12" customWidth="1"/>
    <col min="2" max="2" width="25" customWidth="1"/>
    <col min="3" max="3" width="20" customWidth="1"/>
    <col min="4" max="4" width="15" customWidth="1"/>
    <col min="5" max="5" width="12" customWidth="1"/>
    <col min="6" max="6" width="16" customWidth="1"/>
    <col min="7" max="7" width="20" customWidth="1"/>
    <col min="8" max="8" width="12" customWidth="1"/>
    <col min="9" max="9" width="10" customWidth="1"/>
    <col min="10" max="10" width="35" customWidth="1"/>
  </cols>
  <sheetData>
    <row r="1" spans="1:10" ht="30" customHeight="1" x14ac:dyDescent="0.25">
      <c r="A1" s="80" t="s">
        <v>73</v>
      </c>
      <c r="B1" s="81"/>
      <c r="C1" s="81"/>
      <c r="D1" s="81"/>
      <c r="E1" s="81"/>
      <c r="F1" s="81"/>
      <c r="G1" s="81"/>
      <c r="H1" s="81"/>
      <c r="I1" s="81"/>
      <c r="J1" s="81"/>
    </row>
    <row r="2" spans="1:10" ht="8.1" customHeight="1" x14ac:dyDescent="0.25"/>
    <row r="3" spans="1:10" x14ac:dyDescent="0.25">
      <c r="A3" s="1" t="s">
        <v>74</v>
      </c>
      <c r="B3" s="1" t="s">
        <v>75</v>
      </c>
      <c r="C3" s="1" t="s">
        <v>76</v>
      </c>
      <c r="D3" s="1" t="s">
        <v>77</v>
      </c>
      <c r="E3" s="1" t="s">
        <v>24</v>
      </c>
      <c r="F3" s="1" t="s">
        <v>78</v>
      </c>
      <c r="G3" s="1" t="s">
        <v>79</v>
      </c>
      <c r="H3" s="1" t="s">
        <v>31</v>
      </c>
      <c r="I3" s="1" t="s">
        <v>35</v>
      </c>
      <c r="J3" s="1" t="s">
        <v>3</v>
      </c>
    </row>
    <row r="4" spans="1:10" x14ac:dyDescent="0.25">
      <c r="A4" s="3" t="s">
        <v>80</v>
      </c>
      <c r="B4" s="3" t="s">
        <v>5</v>
      </c>
      <c r="C4" s="3" t="s">
        <v>81</v>
      </c>
      <c r="D4" s="2" t="s">
        <v>82</v>
      </c>
      <c r="E4" s="2" t="s">
        <v>25</v>
      </c>
      <c r="F4" s="2"/>
      <c r="G4" s="2" t="s">
        <v>37</v>
      </c>
      <c r="H4" s="2" t="s">
        <v>83</v>
      </c>
      <c r="I4" s="3" t="s">
        <v>41</v>
      </c>
      <c r="J4" s="2" t="s">
        <v>84</v>
      </c>
    </row>
    <row r="5" spans="1:10" x14ac:dyDescent="0.25">
      <c r="A5" s="5" t="s">
        <v>85</v>
      </c>
      <c r="B5" s="5" t="s">
        <v>86</v>
      </c>
      <c r="C5" s="5" t="s">
        <v>87</v>
      </c>
      <c r="D5" s="4" t="s">
        <v>82</v>
      </c>
      <c r="E5" s="4" t="s">
        <v>25</v>
      </c>
      <c r="F5" s="4"/>
      <c r="G5" s="4" t="s">
        <v>37</v>
      </c>
      <c r="H5" s="4" t="s">
        <v>83</v>
      </c>
      <c r="I5" s="5" t="s">
        <v>41</v>
      </c>
      <c r="J5" s="4" t="s">
        <v>88</v>
      </c>
    </row>
    <row r="6" spans="1:10" x14ac:dyDescent="0.25">
      <c r="A6" s="3" t="s">
        <v>89</v>
      </c>
      <c r="B6" s="3" t="s">
        <v>90</v>
      </c>
      <c r="C6" s="3" t="s">
        <v>91</v>
      </c>
      <c r="D6" s="2" t="s">
        <v>82</v>
      </c>
      <c r="E6" s="2" t="s">
        <v>25</v>
      </c>
      <c r="F6" s="2"/>
      <c r="G6" s="2" t="s">
        <v>37</v>
      </c>
      <c r="H6" s="2" t="s">
        <v>83</v>
      </c>
      <c r="I6" s="3" t="s">
        <v>41</v>
      </c>
      <c r="J6" s="2" t="s">
        <v>92</v>
      </c>
    </row>
    <row r="7" spans="1:10" x14ac:dyDescent="0.25">
      <c r="A7" s="5" t="s">
        <v>93</v>
      </c>
      <c r="B7" s="5" t="s">
        <v>94</v>
      </c>
      <c r="C7" s="5" t="s">
        <v>95</v>
      </c>
      <c r="D7" s="4" t="s">
        <v>82</v>
      </c>
      <c r="E7" s="4" t="s">
        <v>25</v>
      </c>
      <c r="F7" s="4"/>
      <c r="G7" s="4" t="s">
        <v>37</v>
      </c>
      <c r="H7" s="4" t="s">
        <v>96</v>
      </c>
      <c r="I7" s="5" t="s">
        <v>41</v>
      </c>
      <c r="J7" s="4" t="s">
        <v>97</v>
      </c>
    </row>
  </sheetData>
  <mergeCells count="1">
    <mergeCell ref="A1:J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04040"/>
  </sheetPr>
  <dimension ref="A1:H67"/>
  <sheetViews>
    <sheetView workbookViewId="0">
      <pane ySplit="4" topLeftCell="A47" activePane="bottomLeft" state="frozen"/>
      <selection pane="bottomLeft" sqref="A1:H1"/>
    </sheetView>
  </sheetViews>
  <sheetFormatPr defaultRowHeight="15" x14ac:dyDescent="0.25"/>
  <cols>
    <col min="1" max="1" width="18" customWidth="1"/>
    <col min="2" max="2" width="30" customWidth="1"/>
    <col min="3" max="3" width="40" customWidth="1"/>
    <col min="4" max="4" width="15" customWidth="1"/>
  </cols>
  <sheetData>
    <row r="1" spans="1:8" ht="39.950000000000003" customHeight="1" x14ac:dyDescent="0.25">
      <c r="A1" s="83" t="s">
        <v>98</v>
      </c>
      <c r="B1" s="81"/>
      <c r="C1" s="81"/>
      <c r="D1" s="81"/>
      <c r="E1" s="81"/>
      <c r="F1" s="81"/>
      <c r="G1" s="81"/>
      <c r="H1" s="81"/>
    </row>
    <row r="3" spans="1:8" x14ac:dyDescent="0.25">
      <c r="A3" s="82" t="s">
        <v>99</v>
      </c>
      <c r="B3" s="81"/>
      <c r="C3" s="81"/>
      <c r="D3" s="81"/>
      <c r="E3" s="81"/>
      <c r="F3" s="81"/>
      <c r="G3" s="81"/>
      <c r="H3" s="81"/>
    </row>
    <row r="4" spans="1:8" x14ac:dyDescent="0.25">
      <c r="A4" s="1" t="s">
        <v>100</v>
      </c>
      <c r="B4" s="1" t="s">
        <v>101</v>
      </c>
      <c r="C4" s="1" t="s">
        <v>102</v>
      </c>
      <c r="D4" s="1" t="s">
        <v>103</v>
      </c>
    </row>
    <row r="5" spans="1:8" x14ac:dyDescent="0.25">
      <c r="A5" s="2" t="s">
        <v>104</v>
      </c>
      <c r="B5" s="2" t="s">
        <v>63</v>
      </c>
      <c r="C5" s="2" t="s">
        <v>105</v>
      </c>
      <c r="D5" s="2" t="s">
        <v>106</v>
      </c>
    </row>
    <row r="6" spans="1:8" x14ac:dyDescent="0.25">
      <c r="A6" s="4" t="s">
        <v>104</v>
      </c>
      <c r="B6" s="4" t="s">
        <v>107</v>
      </c>
      <c r="C6" s="4" t="s">
        <v>108</v>
      </c>
      <c r="D6" s="4" t="s">
        <v>106</v>
      </c>
    </row>
    <row r="7" spans="1:8" x14ac:dyDescent="0.25">
      <c r="A7" s="2" t="s">
        <v>104</v>
      </c>
      <c r="B7" s="2" t="s">
        <v>109</v>
      </c>
      <c r="C7" s="2" t="s">
        <v>110</v>
      </c>
      <c r="D7" s="2" t="s">
        <v>106</v>
      </c>
    </row>
    <row r="8" spans="1:8" x14ac:dyDescent="0.25">
      <c r="A8" s="4" t="s">
        <v>104</v>
      </c>
      <c r="B8" s="4" t="s">
        <v>111</v>
      </c>
      <c r="C8" s="4" t="s">
        <v>112</v>
      </c>
      <c r="D8" s="4" t="s">
        <v>106</v>
      </c>
    </row>
    <row r="9" spans="1:8" x14ac:dyDescent="0.25">
      <c r="A9" s="2" t="s">
        <v>104</v>
      </c>
      <c r="B9" s="2" t="s">
        <v>113</v>
      </c>
      <c r="C9" s="2" t="s">
        <v>114</v>
      </c>
      <c r="D9" s="2" t="s">
        <v>106</v>
      </c>
    </row>
    <row r="10" spans="1:8" x14ac:dyDescent="0.25">
      <c r="A10" s="4" t="s">
        <v>115</v>
      </c>
      <c r="B10" s="4" t="s">
        <v>116</v>
      </c>
      <c r="C10" s="4" t="s">
        <v>117</v>
      </c>
      <c r="D10" s="4" t="s">
        <v>118</v>
      </c>
    </row>
    <row r="11" spans="1:8" x14ac:dyDescent="0.25">
      <c r="A11" s="2" t="s">
        <v>115</v>
      </c>
      <c r="B11" s="2" t="s">
        <v>119</v>
      </c>
      <c r="C11" s="2" t="s">
        <v>120</v>
      </c>
      <c r="D11" s="2" t="s">
        <v>118</v>
      </c>
    </row>
    <row r="12" spans="1:8" x14ac:dyDescent="0.25">
      <c r="A12" s="4" t="s">
        <v>115</v>
      </c>
      <c r="B12" s="4" t="s">
        <v>121</v>
      </c>
      <c r="C12" s="4" t="s">
        <v>122</v>
      </c>
      <c r="D12" s="4" t="s">
        <v>118</v>
      </c>
    </row>
    <row r="13" spans="1:8" x14ac:dyDescent="0.25">
      <c r="A13" s="2" t="s">
        <v>115</v>
      </c>
      <c r="B13" s="2" t="s">
        <v>123</v>
      </c>
      <c r="C13" s="2" t="s">
        <v>124</v>
      </c>
      <c r="D13" s="2" t="s">
        <v>118</v>
      </c>
    </row>
    <row r="14" spans="1:8" x14ac:dyDescent="0.25">
      <c r="A14" s="4" t="s">
        <v>115</v>
      </c>
      <c r="B14" s="4" t="s">
        <v>125</v>
      </c>
      <c r="C14" s="4" t="s">
        <v>126</v>
      </c>
      <c r="D14" s="4" t="s">
        <v>118</v>
      </c>
    </row>
    <row r="15" spans="1:8" x14ac:dyDescent="0.25">
      <c r="A15" s="2" t="s">
        <v>115</v>
      </c>
      <c r="B15" s="2" t="s">
        <v>127</v>
      </c>
      <c r="C15" s="2" t="s">
        <v>128</v>
      </c>
      <c r="D15" s="2" t="s">
        <v>118</v>
      </c>
    </row>
    <row r="16" spans="1:8" x14ac:dyDescent="0.25">
      <c r="A16" s="4" t="s">
        <v>115</v>
      </c>
      <c r="B16" s="4" t="s">
        <v>129</v>
      </c>
      <c r="C16" s="4" t="s">
        <v>130</v>
      </c>
      <c r="D16" s="4" t="s">
        <v>118</v>
      </c>
    </row>
    <row r="17" spans="1:4" x14ac:dyDescent="0.25">
      <c r="A17" s="2" t="s">
        <v>115</v>
      </c>
      <c r="B17" s="2" t="s">
        <v>131</v>
      </c>
      <c r="C17" s="2" t="s">
        <v>132</v>
      </c>
      <c r="D17" s="2" t="s">
        <v>118</v>
      </c>
    </row>
    <row r="18" spans="1:4" x14ac:dyDescent="0.25">
      <c r="A18" s="4" t="s">
        <v>115</v>
      </c>
      <c r="B18" s="4" t="s">
        <v>133</v>
      </c>
      <c r="C18" s="4" t="s">
        <v>134</v>
      </c>
      <c r="D18" s="4" t="s">
        <v>118</v>
      </c>
    </row>
    <row r="19" spans="1:4" x14ac:dyDescent="0.25">
      <c r="A19" s="2" t="s">
        <v>135</v>
      </c>
      <c r="B19" s="2" t="s">
        <v>136</v>
      </c>
      <c r="C19" s="2" t="s">
        <v>137</v>
      </c>
      <c r="D19" s="2" t="s">
        <v>138</v>
      </c>
    </row>
    <row r="20" spans="1:4" x14ac:dyDescent="0.25">
      <c r="A20" s="4" t="s">
        <v>135</v>
      </c>
      <c r="B20" s="4" t="s">
        <v>139</v>
      </c>
      <c r="C20" s="4" t="s">
        <v>140</v>
      </c>
      <c r="D20" s="4" t="s">
        <v>138</v>
      </c>
    </row>
    <row r="21" spans="1:4" x14ac:dyDescent="0.25">
      <c r="A21" s="2" t="s">
        <v>135</v>
      </c>
      <c r="B21" s="2" t="s">
        <v>141</v>
      </c>
      <c r="C21" s="2" t="s">
        <v>142</v>
      </c>
      <c r="D21" s="2" t="s">
        <v>138</v>
      </c>
    </row>
    <row r="22" spans="1:4" x14ac:dyDescent="0.25">
      <c r="A22" s="4" t="s">
        <v>135</v>
      </c>
      <c r="B22" s="4" t="s">
        <v>143</v>
      </c>
      <c r="C22" s="4" t="s">
        <v>144</v>
      </c>
      <c r="D22" s="4" t="s">
        <v>138</v>
      </c>
    </row>
    <row r="23" spans="1:4" x14ac:dyDescent="0.25">
      <c r="A23" s="2" t="s">
        <v>145</v>
      </c>
      <c r="B23" s="2" t="s">
        <v>146</v>
      </c>
      <c r="C23" s="2" t="s">
        <v>147</v>
      </c>
      <c r="D23" s="2" t="s">
        <v>148</v>
      </c>
    </row>
    <row r="24" spans="1:4" x14ac:dyDescent="0.25">
      <c r="A24" s="4" t="s">
        <v>145</v>
      </c>
      <c r="B24" s="4" t="s">
        <v>149</v>
      </c>
      <c r="C24" s="4" t="s">
        <v>150</v>
      </c>
      <c r="D24" s="4" t="s">
        <v>148</v>
      </c>
    </row>
    <row r="25" spans="1:4" x14ac:dyDescent="0.25">
      <c r="A25" s="2" t="s">
        <v>145</v>
      </c>
      <c r="B25" s="2" t="s">
        <v>151</v>
      </c>
      <c r="C25" s="2" t="s">
        <v>152</v>
      </c>
      <c r="D25" s="2" t="s">
        <v>148</v>
      </c>
    </row>
    <row r="26" spans="1:4" x14ac:dyDescent="0.25">
      <c r="A26" s="4" t="s">
        <v>145</v>
      </c>
      <c r="B26" s="4" t="s">
        <v>153</v>
      </c>
      <c r="C26" s="4" t="s">
        <v>154</v>
      </c>
      <c r="D26" s="4" t="s">
        <v>148</v>
      </c>
    </row>
    <row r="27" spans="1:4" x14ac:dyDescent="0.25">
      <c r="A27" s="2" t="s">
        <v>145</v>
      </c>
      <c r="B27" s="2" t="s">
        <v>155</v>
      </c>
      <c r="C27" s="2" t="s">
        <v>156</v>
      </c>
      <c r="D27" s="2" t="s">
        <v>148</v>
      </c>
    </row>
    <row r="28" spans="1:4" x14ac:dyDescent="0.25">
      <c r="A28" s="4" t="s">
        <v>145</v>
      </c>
      <c r="B28" s="4" t="s">
        <v>157</v>
      </c>
      <c r="C28" s="4" t="s">
        <v>158</v>
      </c>
      <c r="D28" s="4" t="s">
        <v>148</v>
      </c>
    </row>
    <row r="29" spans="1:4" x14ac:dyDescent="0.25">
      <c r="A29" s="2" t="s">
        <v>145</v>
      </c>
      <c r="B29" s="2" t="s">
        <v>159</v>
      </c>
      <c r="C29" s="2" t="s">
        <v>160</v>
      </c>
      <c r="D29" s="2" t="s">
        <v>148</v>
      </c>
    </row>
    <row r="30" spans="1:4" x14ac:dyDescent="0.25">
      <c r="A30" s="4" t="s">
        <v>145</v>
      </c>
      <c r="B30" s="4" t="s">
        <v>161</v>
      </c>
      <c r="C30" s="4" t="s">
        <v>162</v>
      </c>
      <c r="D30" s="4" t="s">
        <v>148</v>
      </c>
    </row>
    <row r="31" spans="1:4" x14ac:dyDescent="0.25">
      <c r="A31" s="2" t="s">
        <v>163</v>
      </c>
      <c r="B31" s="2" t="s">
        <v>69</v>
      </c>
      <c r="C31" s="2" t="s">
        <v>164</v>
      </c>
      <c r="D31" s="2" t="s">
        <v>165</v>
      </c>
    </row>
    <row r="32" spans="1:4" x14ac:dyDescent="0.25">
      <c r="A32" s="4" t="s">
        <v>163</v>
      </c>
      <c r="B32" s="4" t="s">
        <v>166</v>
      </c>
      <c r="C32" s="4" t="s">
        <v>167</v>
      </c>
      <c r="D32" s="4" t="s">
        <v>165</v>
      </c>
    </row>
    <row r="33" spans="1:4" x14ac:dyDescent="0.25">
      <c r="A33" s="2" t="s">
        <v>163</v>
      </c>
      <c r="B33" s="2" t="s">
        <v>168</v>
      </c>
      <c r="C33" s="2" t="s">
        <v>169</v>
      </c>
      <c r="D33" s="2" t="s">
        <v>165</v>
      </c>
    </row>
    <row r="34" spans="1:4" x14ac:dyDescent="0.25">
      <c r="A34" s="4" t="s">
        <v>163</v>
      </c>
      <c r="B34" s="4" t="s">
        <v>170</v>
      </c>
      <c r="C34" s="4" t="s">
        <v>171</v>
      </c>
      <c r="D34" s="4" t="s">
        <v>165</v>
      </c>
    </row>
    <row r="35" spans="1:4" x14ac:dyDescent="0.25">
      <c r="A35" s="2" t="s">
        <v>163</v>
      </c>
      <c r="B35" s="2" t="s">
        <v>172</v>
      </c>
      <c r="C35" s="2" t="s">
        <v>173</v>
      </c>
      <c r="D35" s="2" t="s">
        <v>165</v>
      </c>
    </row>
    <row r="36" spans="1:4" x14ac:dyDescent="0.25">
      <c r="A36" s="4" t="s">
        <v>163</v>
      </c>
      <c r="B36" s="4" t="s">
        <v>174</v>
      </c>
      <c r="C36" s="4" t="s">
        <v>175</v>
      </c>
      <c r="D36" s="4" t="s">
        <v>165</v>
      </c>
    </row>
    <row r="37" spans="1:4" x14ac:dyDescent="0.25">
      <c r="A37" s="2" t="s">
        <v>163</v>
      </c>
      <c r="B37" s="2" t="s">
        <v>176</v>
      </c>
      <c r="C37" s="2" t="s">
        <v>177</v>
      </c>
      <c r="D37" s="2" t="s">
        <v>165</v>
      </c>
    </row>
    <row r="38" spans="1:4" x14ac:dyDescent="0.25">
      <c r="A38" s="4" t="s">
        <v>163</v>
      </c>
      <c r="B38" s="4" t="s">
        <v>178</v>
      </c>
      <c r="C38" s="4" t="s">
        <v>179</v>
      </c>
      <c r="D38" s="4" t="s">
        <v>165</v>
      </c>
    </row>
    <row r="39" spans="1:4" x14ac:dyDescent="0.25">
      <c r="A39" s="2" t="s">
        <v>180</v>
      </c>
      <c r="B39" s="2" t="s">
        <v>181</v>
      </c>
      <c r="C39" s="2" t="s">
        <v>182</v>
      </c>
      <c r="D39" s="2" t="s">
        <v>183</v>
      </c>
    </row>
    <row r="40" spans="1:4" x14ac:dyDescent="0.25">
      <c r="A40" s="4" t="s">
        <v>180</v>
      </c>
      <c r="B40" s="4" t="s">
        <v>184</v>
      </c>
      <c r="C40" s="4" t="s">
        <v>185</v>
      </c>
      <c r="D40" s="4" t="s">
        <v>183</v>
      </c>
    </row>
    <row r="41" spans="1:4" x14ac:dyDescent="0.25">
      <c r="A41" s="2" t="s">
        <v>180</v>
      </c>
      <c r="B41" s="2" t="s">
        <v>186</v>
      </c>
      <c r="C41" s="2" t="s">
        <v>187</v>
      </c>
      <c r="D41" s="2" t="s">
        <v>183</v>
      </c>
    </row>
    <row r="42" spans="1:4" x14ac:dyDescent="0.25">
      <c r="A42" s="4" t="s">
        <v>180</v>
      </c>
      <c r="B42" s="4" t="s">
        <v>188</v>
      </c>
      <c r="C42" s="4" t="s">
        <v>189</v>
      </c>
      <c r="D42" s="4" t="s">
        <v>183</v>
      </c>
    </row>
    <row r="43" spans="1:4" x14ac:dyDescent="0.25">
      <c r="A43" s="2" t="s">
        <v>180</v>
      </c>
      <c r="B43" s="2" t="s">
        <v>190</v>
      </c>
      <c r="C43" s="2" t="s">
        <v>191</v>
      </c>
      <c r="D43" s="2" t="s">
        <v>183</v>
      </c>
    </row>
    <row r="44" spans="1:4" x14ac:dyDescent="0.25">
      <c r="A44" s="4" t="s">
        <v>192</v>
      </c>
      <c r="B44" s="4" t="s">
        <v>193</v>
      </c>
      <c r="C44" s="4" t="s">
        <v>194</v>
      </c>
      <c r="D44" s="4" t="s">
        <v>195</v>
      </c>
    </row>
    <row r="45" spans="1:4" x14ac:dyDescent="0.25">
      <c r="A45" s="2" t="s">
        <v>192</v>
      </c>
      <c r="B45" s="2" t="s">
        <v>196</v>
      </c>
      <c r="C45" s="2" t="s">
        <v>197</v>
      </c>
      <c r="D45" s="2" t="s">
        <v>195</v>
      </c>
    </row>
    <row r="46" spans="1:4" x14ac:dyDescent="0.25">
      <c r="A46" s="4" t="s">
        <v>192</v>
      </c>
      <c r="B46" s="4" t="s">
        <v>198</v>
      </c>
      <c r="C46" s="4" t="s">
        <v>199</v>
      </c>
      <c r="D46" s="4" t="s">
        <v>195</v>
      </c>
    </row>
    <row r="47" spans="1:4" x14ac:dyDescent="0.25">
      <c r="A47" s="2" t="s">
        <v>192</v>
      </c>
      <c r="B47" s="2" t="s">
        <v>200</v>
      </c>
      <c r="C47" s="2" t="s">
        <v>201</v>
      </c>
      <c r="D47" s="2" t="s">
        <v>195</v>
      </c>
    </row>
    <row r="48" spans="1:4" x14ac:dyDescent="0.25">
      <c r="A48" s="4" t="s">
        <v>192</v>
      </c>
      <c r="B48" s="4" t="s">
        <v>202</v>
      </c>
      <c r="C48" s="4" t="s">
        <v>203</v>
      </c>
      <c r="D48" s="4" t="s">
        <v>195</v>
      </c>
    </row>
    <row r="49" spans="1:8" x14ac:dyDescent="0.25">
      <c r="A49" s="2" t="s">
        <v>204</v>
      </c>
      <c r="B49" s="2" t="s">
        <v>205</v>
      </c>
      <c r="C49" s="2" t="s">
        <v>206</v>
      </c>
      <c r="D49" s="2" t="s">
        <v>207</v>
      </c>
    </row>
    <row r="50" spans="1:8" x14ac:dyDescent="0.25">
      <c r="A50" s="4" t="s">
        <v>204</v>
      </c>
      <c r="B50" s="4" t="s">
        <v>208</v>
      </c>
      <c r="C50" s="4" t="s">
        <v>209</v>
      </c>
      <c r="D50" s="4" t="s">
        <v>207</v>
      </c>
    </row>
    <row r="51" spans="1:8" x14ac:dyDescent="0.25">
      <c r="A51" s="2" t="s">
        <v>204</v>
      </c>
      <c r="B51" s="2" t="s">
        <v>210</v>
      </c>
      <c r="C51" s="2" t="s">
        <v>211</v>
      </c>
      <c r="D51" s="2" t="s">
        <v>207</v>
      </c>
    </row>
    <row r="52" spans="1:8" x14ac:dyDescent="0.25">
      <c r="A52" s="4" t="s">
        <v>204</v>
      </c>
      <c r="B52" s="4" t="s">
        <v>212</v>
      </c>
      <c r="C52" s="4" t="s">
        <v>213</v>
      </c>
      <c r="D52" s="4" t="s">
        <v>207</v>
      </c>
    </row>
    <row r="53" spans="1:8" x14ac:dyDescent="0.25">
      <c r="A53" s="2" t="s">
        <v>214</v>
      </c>
      <c r="B53" s="2" t="s">
        <v>215</v>
      </c>
      <c r="C53" s="2" t="s">
        <v>216</v>
      </c>
      <c r="D53" s="2" t="s">
        <v>217</v>
      </c>
    </row>
    <row r="54" spans="1:8" x14ac:dyDescent="0.25">
      <c r="A54" s="4" t="s">
        <v>214</v>
      </c>
      <c r="B54" s="4" t="s">
        <v>218</v>
      </c>
      <c r="C54" s="4" t="s">
        <v>219</v>
      </c>
      <c r="D54" s="4" t="s">
        <v>217</v>
      </c>
    </row>
    <row r="55" spans="1:8" x14ac:dyDescent="0.25">
      <c r="A55" s="2" t="s">
        <v>214</v>
      </c>
      <c r="B55" s="2" t="s">
        <v>220</v>
      </c>
      <c r="C55" s="2" t="s">
        <v>221</v>
      </c>
      <c r="D55" s="2" t="s">
        <v>217</v>
      </c>
    </row>
    <row r="56" spans="1:8" x14ac:dyDescent="0.25">
      <c r="A56" s="4" t="s">
        <v>214</v>
      </c>
      <c r="B56" s="4" t="s">
        <v>222</v>
      </c>
      <c r="C56" s="4" t="s">
        <v>223</v>
      </c>
      <c r="D56" s="4" t="s">
        <v>217</v>
      </c>
    </row>
    <row r="57" spans="1:8" x14ac:dyDescent="0.25">
      <c r="A57" s="2" t="s">
        <v>214</v>
      </c>
      <c r="B57" s="2" t="s">
        <v>224</v>
      </c>
      <c r="C57" s="2" t="s">
        <v>225</v>
      </c>
      <c r="D57" s="2" t="s">
        <v>217</v>
      </c>
    </row>
    <row r="60" spans="1:8" x14ac:dyDescent="0.25">
      <c r="A60" s="82" t="s">
        <v>226</v>
      </c>
      <c r="B60" s="81"/>
      <c r="C60" s="81"/>
      <c r="D60" s="81"/>
      <c r="E60" s="81"/>
      <c r="F60" s="81"/>
      <c r="G60" s="81"/>
      <c r="H60" s="81"/>
    </row>
    <row r="61" spans="1:8" x14ac:dyDescent="0.25">
      <c r="A61" s="1" t="s">
        <v>227</v>
      </c>
      <c r="B61" s="1" t="s">
        <v>2</v>
      </c>
      <c r="C61" s="1" t="s">
        <v>35</v>
      </c>
    </row>
    <row r="62" spans="1:8" x14ac:dyDescent="0.25">
      <c r="A62" s="2" t="s">
        <v>228</v>
      </c>
      <c r="B62" s="3" t="s">
        <v>19</v>
      </c>
      <c r="C62" s="2" t="s">
        <v>229</v>
      </c>
    </row>
    <row r="63" spans="1:8" x14ac:dyDescent="0.25">
      <c r="A63" s="4" t="s">
        <v>230</v>
      </c>
      <c r="B63" s="5" t="s">
        <v>231</v>
      </c>
      <c r="C63" s="4" t="s">
        <v>232</v>
      </c>
    </row>
    <row r="64" spans="1:8" x14ac:dyDescent="0.25">
      <c r="A64" s="2" t="s">
        <v>233</v>
      </c>
      <c r="B64" s="3" t="s">
        <v>234</v>
      </c>
      <c r="C64" s="2" t="s">
        <v>232</v>
      </c>
    </row>
    <row r="65" spans="1:3" x14ac:dyDescent="0.25">
      <c r="A65" s="4" t="s">
        <v>235</v>
      </c>
      <c r="B65" s="5" t="s">
        <v>236</v>
      </c>
      <c r="C65" s="4" t="s">
        <v>41</v>
      </c>
    </row>
    <row r="66" spans="1:3" x14ac:dyDescent="0.25">
      <c r="A66" s="2" t="s">
        <v>237</v>
      </c>
      <c r="B66" s="3" t="s">
        <v>236</v>
      </c>
      <c r="C66" s="2" t="s">
        <v>41</v>
      </c>
    </row>
    <row r="67" spans="1:3" x14ac:dyDescent="0.25">
      <c r="A67" s="4" t="s">
        <v>16</v>
      </c>
      <c r="B67" s="5" t="s">
        <v>17</v>
      </c>
      <c r="C67" s="4" t="s">
        <v>229</v>
      </c>
    </row>
  </sheetData>
  <mergeCells count="3">
    <mergeCell ref="A60:H60"/>
    <mergeCell ref="A3:H3"/>
    <mergeCell ref="A1:H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A2744"/>
  </sheetPr>
  <dimension ref="A1:H101"/>
  <sheetViews>
    <sheetView workbookViewId="0">
      <pane ySplit="3" topLeftCell="A70" activePane="bottomLeft" state="frozen"/>
      <selection pane="bottomLeft" sqref="A1:H1"/>
    </sheetView>
  </sheetViews>
  <sheetFormatPr defaultRowHeight="15" x14ac:dyDescent="0.25"/>
  <cols>
    <col min="1" max="1" width="16" customWidth="1"/>
    <col min="2" max="2" width="42" customWidth="1"/>
    <col min="3" max="3" width="12" customWidth="1"/>
    <col min="4" max="4" width="22" customWidth="1"/>
    <col min="5" max="5" width="14" customWidth="1"/>
    <col min="6" max="6" width="38" customWidth="1"/>
    <col min="7" max="7" width="8" customWidth="1"/>
    <col min="8" max="8" width="12" customWidth="1"/>
  </cols>
  <sheetData>
    <row r="1" spans="1:8" ht="27.95" customHeight="1" x14ac:dyDescent="0.25">
      <c r="A1" s="84" t="s">
        <v>238</v>
      </c>
      <c r="B1" s="81"/>
      <c r="C1" s="81"/>
      <c r="D1" s="81"/>
      <c r="E1" s="81"/>
      <c r="F1" s="81"/>
      <c r="G1" s="81"/>
      <c r="H1" s="81"/>
    </row>
    <row r="2" spans="1:8" ht="6" customHeight="1" x14ac:dyDescent="0.25"/>
    <row r="3" spans="1:8" ht="25.5" x14ac:dyDescent="0.25">
      <c r="A3" s="1" t="s">
        <v>239</v>
      </c>
      <c r="B3" s="1" t="s">
        <v>240</v>
      </c>
      <c r="C3" s="1" t="s">
        <v>241</v>
      </c>
      <c r="D3" s="1" t="s">
        <v>242</v>
      </c>
      <c r="E3" s="1" t="s">
        <v>243</v>
      </c>
      <c r="F3" s="1" t="s">
        <v>102</v>
      </c>
      <c r="G3" s="1" t="s">
        <v>41</v>
      </c>
      <c r="H3" s="1" t="s">
        <v>244</v>
      </c>
    </row>
    <row r="4" spans="1:8" x14ac:dyDescent="0.25">
      <c r="A4" s="6">
        <v>1000</v>
      </c>
      <c r="B4" s="7" t="s">
        <v>245</v>
      </c>
      <c r="C4" s="7" t="s">
        <v>246</v>
      </c>
      <c r="D4" s="7" t="s">
        <v>247</v>
      </c>
      <c r="E4" s="7" t="s">
        <v>248</v>
      </c>
      <c r="F4" s="7" t="s">
        <v>249</v>
      </c>
      <c r="G4" s="7" t="s">
        <v>250</v>
      </c>
      <c r="H4" s="7" t="s">
        <v>251</v>
      </c>
    </row>
    <row r="5" spans="1:8" x14ac:dyDescent="0.25">
      <c r="A5" s="6">
        <v>1010</v>
      </c>
      <c r="B5" s="7" t="s">
        <v>252</v>
      </c>
      <c r="C5" s="7" t="s">
        <v>246</v>
      </c>
      <c r="D5" s="7" t="s">
        <v>247</v>
      </c>
      <c r="E5" s="7" t="s">
        <v>248</v>
      </c>
      <c r="F5" s="7" t="s">
        <v>253</v>
      </c>
      <c r="G5" s="7" t="s">
        <v>250</v>
      </c>
      <c r="H5" s="7" t="s">
        <v>251</v>
      </c>
    </row>
    <row r="6" spans="1:8" x14ac:dyDescent="0.25">
      <c r="A6" s="6">
        <v>1020</v>
      </c>
      <c r="B6" s="7" t="s">
        <v>254</v>
      </c>
      <c r="C6" s="7" t="s">
        <v>246</v>
      </c>
      <c r="D6" s="7" t="s">
        <v>247</v>
      </c>
      <c r="E6" s="7" t="s">
        <v>248</v>
      </c>
      <c r="F6" s="7" t="s">
        <v>255</v>
      </c>
      <c r="G6" s="7" t="s">
        <v>250</v>
      </c>
      <c r="H6" s="7" t="s">
        <v>251</v>
      </c>
    </row>
    <row r="7" spans="1:8" x14ac:dyDescent="0.25">
      <c r="A7" s="6">
        <v>1030</v>
      </c>
      <c r="B7" s="7" t="s">
        <v>256</v>
      </c>
      <c r="C7" s="7" t="s">
        <v>246</v>
      </c>
      <c r="D7" s="7" t="s">
        <v>247</v>
      </c>
      <c r="E7" s="7" t="s">
        <v>248</v>
      </c>
      <c r="F7" s="7" t="s">
        <v>257</v>
      </c>
      <c r="G7" s="7" t="s">
        <v>250</v>
      </c>
      <c r="H7" s="7" t="s">
        <v>251</v>
      </c>
    </row>
    <row r="8" spans="1:8" x14ac:dyDescent="0.25">
      <c r="A8" s="6">
        <v>1040</v>
      </c>
      <c r="B8" s="7" t="s">
        <v>258</v>
      </c>
      <c r="C8" s="7" t="s">
        <v>246</v>
      </c>
      <c r="D8" s="7" t="s">
        <v>247</v>
      </c>
      <c r="E8" s="7" t="s">
        <v>248</v>
      </c>
      <c r="F8" s="7" t="s">
        <v>259</v>
      </c>
      <c r="G8" s="7" t="s">
        <v>250</v>
      </c>
      <c r="H8" s="7" t="s">
        <v>251</v>
      </c>
    </row>
    <row r="9" spans="1:8" x14ac:dyDescent="0.25">
      <c r="A9" s="6">
        <v>1100</v>
      </c>
      <c r="B9" s="7" t="s">
        <v>260</v>
      </c>
      <c r="C9" s="7" t="s">
        <v>246</v>
      </c>
      <c r="D9" s="7" t="s">
        <v>247</v>
      </c>
      <c r="E9" s="7" t="s">
        <v>248</v>
      </c>
      <c r="F9" s="7" t="s">
        <v>261</v>
      </c>
      <c r="G9" s="7" t="s">
        <v>250</v>
      </c>
      <c r="H9" s="7" t="s">
        <v>251</v>
      </c>
    </row>
    <row r="10" spans="1:8" x14ac:dyDescent="0.25">
      <c r="A10" s="6">
        <v>1110</v>
      </c>
      <c r="B10" s="7" t="s">
        <v>262</v>
      </c>
      <c r="C10" s="7" t="s">
        <v>246</v>
      </c>
      <c r="D10" s="7" t="s">
        <v>247</v>
      </c>
      <c r="E10" s="7" t="s">
        <v>248</v>
      </c>
      <c r="F10" s="7" t="s">
        <v>263</v>
      </c>
      <c r="G10" s="7" t="s">
        <v>250</v>
      </c>
      <c r="H10" s="7" t="s">
        <v>251</v>
      </c>
    </row>
    <row r="11" spans="1:8" x14ac:dyDescent="0.25">
      <c r="A11" s="6">
        <v>1120</v>
      </c>
      <c r="B11" s="7" t="s">
        <v>264</v>
      </c>
      <c r="C11" s="7" t="s">
        <v>246</v>
      </c>
      <c r="D11" s="7" t="s">
        <v>247</v>
      </c>
      <c r="E11" s="7" t="s">
        <v>248</v>
      </c>
      <c r="F11" s="7" t="s">
        <v>265</v>
      </c>
      <c r="G11" s="7" t="s">
        <v>250</v>
      </c>
      <c r="H11" s="7" t="s">
        <v>251</v>
      </c>
    </row>
    <row r="12" spans="1:8" x14ac:dyDescent="0.25">
      <c r="A12" s="6">
        <v>1200</v>
      </c>
      <c r="B12" s="7" t="s">
        <v>266</v>
      </c>
      <c r="C12" s="7" t="s">
        <v>246</v>
      </c>
      <c r="D12" s="7" t="s">
        <v>247</v>
      </c>
      <c r="E12" s="7" t="s">
        <v>248</v>
      </c>
      <c r="F12" s="7" t="s">
        <v>267</v>
      </c>
      <c r="G12" s="7" t="s">
        <v>250</v>
      </c>
      <c r="H12" s="7" t="s">
        <v>251</v>
      </c>
    </row>
    <row r="13" spans="1:8" x14ac:dyDescent="0.25">
      <c r="A13" s="6">
        <v>1210</v>
      </c>
      <c r="B13" s="7" t="s">
        <v>268</v>
      </c>
      <c r="C13" s="7" t="s">
        <v>246</v>
      </c>
      <c r="D13" s="7" t="s">
        <v>247</v>
      </c>
      <c r="E13" s="7" t="s">
        <v>248</v>
      </c>
      <c r="F13" s="7"/>
      <c r="G13" s="7" t="s">
        <v>250</v>
      </c>
      <c r="H13" s="7" t="s">
        <v>251</v>
      </c>
    </row>
    <row r="14" spans="1:8" x14ac:dyDescent="0.25">
      <c r="A14" s="6">
        <v>1300</v>
      </c>
      <c r="B14" s="7" t="s">
        <v>269</v>
      </c>
      <c r="C14" s="7" t="s">
        <v>246</v>
      </c>
      <c r="D14" s="7" t="s">
        <v>270</v>
      </c>
      <c r="E14" s="7" t="s">
        <v>248</v>
      </c>
      <c r="F14" s="7" t="s">
        <v>271</v>
      </c>
      <c r="G14" s="7" t="s">
        <v>250</v>
      </c>
      <c r="H14" s="7" t="s">
        <v>251</v>
      </c>
    </row>
    <row r="15" spans="1:8" x14ac:dyDescent="0.25">
      <c r="A15" s="6">
        <v>1310</v>
      </c>
      <c r="B15" s="7" t="s">
        <v>272</v>
      </c>
      <c r="C15" s="7" t="s">
        <v>246</v>
      </c>
      <c r="D15" s="7" t="s">
        <v>270</v>
      </c>
      <c r="E15" s="7" t="s">
        <v>248</v>
      </c>
      <c r="F15" s="7" t="s">
        <v>273</v>
      </c>
      <c r="G15" s="7" t="s">
        <v>250</v>
      </c>
      <c r="H15" s="7" t="s">
        <v>251</v>
      </c>
    </row>
    <row r="16" spans="1:8" x14ac:dyDescent="0.25">
      <c r="A16" s="6">
        <v>1400</v>
      </c>
      <c r="B16" s="7" t="s">
        <v>274</v>
      </c>
      <c r="C16" s="7" t="s">
        <v>246</v>
      </c>
      <c r="D16" s="7" t="s">
        <v>275</v>
      </c>
      <c r="E16" s="7" t="s">
        <v>248</v>
      </c>
      <c r="F16" s="7" t="s">
        <v>276</v>
      </c>
      <c r="G16" s="7" t="s">
        <v>250</v>
      </c>
      <c r="H16" s="7" t="s">
        <v>251</v>
      </c>
    </row>
    <row r="17" spans="1:8" x14ac:dyDescent="0.25">
      <c r="A17" s="6">
        <v>1410</v>
      </c>
      <c r="B17" s="7" t="s">
        <v>277</v>
      </c>
      <c r="C17" s="7" t="s">
        <v>246</v>
      </c>
      <c r="D17" s="7" t="s">
        <v>275</v>
      </c>
      <c r="E17" s="7" t="s">
        <v>248</v>
      </c>
      <c r="F17" s="7" t="s">
        <v>278</v>
      </c>
      <c r="G17" s="7" t="s">
        <v>250</v>
      </c>
      <c r="H17" s="7" t="s">
        <v>279</v>
      </c>
    </row>
    <row r="18" spans="1:8" x14ac:dyDescent="0.25">
      <c r="A18" s="6">
        <v>1420</v>
      </c>
      <c r="B18" s="7" t="s">
        <v>280</v>
      </c>
      <c r="C18" s="7" t="s">
        <v>246</v>
      </c>
      <c r="D18" s="7" t="s">
        <v>275</v>
      </c>
      <c r="E18" s="7" t="s">
        <v>248</v>
      </c>
      <c r="F18" s="7" t="s">
        <v>281</v>
      </c>
      <c r="G18" s="7" t="s">
        <v>250</v>
      </c>
      <c r="H18" s="7" t="s">
        <v>279</v>
      </c>
    </row>
    <row r="19" spans="1:8" x14ac:dyDescent="0.25">
      <c r="A19" s="6">
        <v>1430</v>
      </c>
      <c r="B19" s="7" t="s">
        <v>282</v>
      </c>
      <c r="C19" s="7" t="s">
        <v>246</v>
      </c>
      <c r="D19" s="7" t="s">
        <v>275</v>
      </c>
      <c r="E19" s="7" t="s">
        <v>283</v>
      </c>
      <c r="F19" s="7" t="s">
        <v>284</v>
      </c>
      <c r="G19" s="7" t="s">
        <v>250</v>
      </c>
      <c r="H19" s="7" t="s">
        <v>251</v>
      </c>
    </row>
    <row r="20" spans="1:8" x14ac:dyDescent="0.25">
      <c r="A20" s="6">
        <v>1500</v>
      </c>
      <c r="B20" s="7" t="s">
        <v>285</v>
      </c>
      <c r="C20" s="7" t="s">
        <v>246</v>
      </c>
      <c r="D20" s="7" t="s">
        <v>275</v>
      </c>
      <c r="E20" s="7" t="s">
        <v>248</v>
      </c>
      <c r="F20" s="7" t="s">
        <v>286</v>
      </c>
      <c r="G20" s="7" t="s">
        <v>250</v>
      </c>
      <c r="H20" s="7" t="s">
        <v>251</v>
      </c>
    </row>
    <row r="21" spans="1:8" x14ac:dyDescent="0.25">
      <c r="A21" s="6">
        <v>1510</v>
      </c>
      <c r="B21" s="7" t="s">
        <v>287</v>
      </c>
      <c r="C21" s="7" t="s">
        <v>246</v>
      </c>
      <c r="D21" s="7" t="s">
        <v>275</v>
      </c>
      <c r="E21" s="7" t="s">
        <v>248</v>
      </c>
      <c r="F21" s="7" t="s">
        <v>288</v>
      </c>
      <c r="G21" s="7" t="s">
        <v>250</v>
      </c>
      <c r="H21" s="7" t="s">
        <v>251</v>
      </c>
    </row>
    <row r="22" spans="1:8" x14ac:dyDescent="0.25">
      <c r="A22" s="6">
        <v>1520</v>
      </c>
      <c r="B22" s="7" t="s">
        <v>289</v>
      </c>
      <c r="C22" s="7" t="s">
        <v>246</v>
      </c>
      <c r="D22" s="7" t="s">
        <v>275</v>
      </c>
      <c r="E22" s="7" t="s">
        <v>283</v>
      </c>
      <c r="F22" s="7" t="s">
        <v>284</v>
      </c>
      <c r="G22" s="7" t="s">
        <v>250</v>
      </c>
      <c r="H22" s="7" t="s">
        <v>251</v>
      </c>
    </row>
    <row r="23" spans="1:8" x14ac:dyDescent="0.25">
      <c r="A23" s="6">
        <v>1600</v>
      </c>
      <c r="B23" s="7" t="s">
        <v>290</v>
      </c>
      <c r="C23" s="7" t="s">
        <v>246</v>
      </c>
      <c r="D23" s="7" t="s">
        <v>291</v>
      </c>
      <c r="E23" s="7" t="s">
        <v>248</v>
      </c>
      <c r="F23" s="7" t="s">
        <v>292</v>
      </c>
      <c r="G23" s="7" t="s">
        <v>250</v>
      </c>
      <c r="H23" s="7" t="s">
        <v>251</v>
      </c>
    </row>
    <row r="24" spans="1:8" x14ac:dyDescent="0.25">
      <c r="A24" s="6">
        <v>1700</v>
      </c>
      <c r="B24" s="7" t="s">
        <v>293</v>
      </c>
      <c r="C24" s="7" t="s">
        <v>246</v>
      </c>
      <c r="D24" s="7" t="s">
        <v>291</v>
      </c>
      <c r="E24" s="7" t="s">
        <v>248</v>
      </c>
      <c r="F24" s="7" t="s">
        <v>294</v>
      </c>
      <c r="G24" s="7" t="s">
        <v>250</v>
      </c>
      <c r="H24" s="7" t="s">
        <v>251</v>
      </c>
    </row>
    <row r="25" spans="1:8" x14ac:dyDescent="0.25">
      <c r="A25" s="6">
        <v>1800</v>
      </c>
      <c r="B25" s="7" t="s">
        <v>295</v>
      </c>
      <c r="C25" s="7" t="s">
        <v>246</v>
      </c>
      <c r="D25" s="7" t="s">
        <v>291</v>
      </c>
      <c r="E25" s="7" t="s">
        <v>248</v>
      </c>
      <c r="F25" s="7" t="s">
        <v>296</v>
      </c>
      <c r="G25" s="7" t="s">
        <v>250</v>
      </c>
      <c r="H25" s="7" t="s">
        <v>251</v>
      </c>
    </row>
    <row r="26" spans="1:8" x14ac:dyDescent="0.25">
      <c r="A26" s="6">
        <v>1900</v>
      </c>
      <c r="B26" s="7" t="s">
        <v>297</v>
      </c>
      <c r="C26" s="7" t="s">
        <v>246</v>
      </c>
      <c r="D26" s="7" t="s">
        <v>291</v>
      </c>
      <c r="E26" s="7" t="s">
        <v>248</v>
      </c>
      <c r="F26" s="7" t="s">
        <v>298</v>
      </c>
      <c r="G26" s="7" t="s">
        <v>250</v>
      </c>
      <c r="H26" s="7" t="s">
        <v>251</v>
      </c>
    </row>
    <row r="27" spans="1:8" x14ac:dyDescent="0.25">
      <c r="A27" s="8">
        <v>2000</v>
      </c>
      <c r="B27" s="9" t="s">
        <v>299</v>
      </c>
      <c r="C27" s="9" t="s">
        <v>300</v>
      </c>
      <c r="D27" s="9" t="s">
        <v>301</v>
      </c>
      <c r="E27" s="9" t="s">
        <v>283</v>
      </c>
      <c r="F27" s="9" t="s">
        <v>302</v>
      </c>
      <c r="G27" s="9" t="s">
        <v>250</v>
      </c>
      <c r="H27" s="9" t="s">
        <v>251</v>
      </c>
    </row>
    <row r="28" spans="1:8" x14ac:dyDescent="0.25">
      <c r="A28" s="8">
        <v>2010</v>
      </c>
      <c r="B28" s="9" t="s">
        <v>303</v>
      </c>
      <c r="C28" s="9" t="s">
        <v>300</v>
      </c>
      <c r="D28" s="9" t="s">
        <v>301</v>
      </c>
      <c r="E28" s="9" t="s">
        <v>283</v>
      </c>
      <c r="F28" s="9" t="s">
        <v>304</v>
      </c>
      <c r="G28" s="9" t="s">
        <v>250</v>
      </c>
      <c r="H28" s="9" t="s">
        <v>251</v>
      </c>
    </row>
    <row r="29" spans="1:8" x14ac:dyDescent="0.25">
      <c r="A29" s="8">
        <v>2020</v>
      </c>
      <c r="B29" s="9" t="s">
        <v>305</v>
      </c>
      <c r="C29" s="9" t="s">
        <v>300</v>
      </c>
      <c r="D29" s="9" t="s">
        <v>301</v>
      </c>
      <c r="E29" s="9" t="s">
        <v>283</v>
      </c>
      <c r="F29" s="9" t="s">
        <v>306</v>
      </c>
      <c r="G29" s="9" t="s">
        <v>250</v>
      </c>
      <c r="H29" s="9" t="s">
        <v>251</v>
      </c>
    </row>
    <row r="30" spans="1:8" x14ac:dyDescent="0.25">
      <c r="A30" s="8">
        <v>2100</v>
      </c>
      <c r="B30" s="9" t="s">
        <v>307</v>
      </c>
      <c r="C30" s="9" t="s">
        <v>300</v>
      </c>
      <c r="D30" s="9" t="s">
        <v>301</v>
      </c>
      <c r="E30" s="9" t="s">
        <v>283</v>
      </c>
      <c r="F30" s="9" t="s">
        <v>308</v>
      </c>
      <c r="G30" s="9" t="s">
        <v>250</v>
      </c>
      <c r="H30" s="9" t="s">
        <v>251</v>
      </c>
    </row>
    <row r="31" spans="1:8" x14ac:dyDescent="0.25">
      <c r="A31" s="8">
        <v>2110</v>
      </c>
      <c r="B31" s="9" t="s">
        <v>309</v>
      </c>
      <c r="C31" s="9" t="s">
        <v>300</v>
      </c>
      <c r="D31" s="9" t="s">
        <v>301</v>
      </c>
      <c r="E31" s="9" t="s">
        <v>283</v>
      </c>
      <c r="F31" s="9"/>
      <c r="G31" s="9" t="s">
        <v>250</v>
      </c>
      <c r="H31" s="9" t="s">
        <v>251</v>
      </c>
    </row>
    <row r="32" spans="1:8" x14ac:dyDescent="0.25">
      <c r="A32" s="8">
        <v>2200</v>
      </c>
      <c r="B32" s="9" t="s">
        <v>310</v>
      </c>
      <c r="C32" s="9" t="s">
        <v>300</v>
      </c>
      <c r="D32" s="9" t="s">
        <v>301</v>
      </c>
      <c r="E32" s="9" t="s">
        <v>283</v>
      </c>
      <c r="F32" s="9" t="s">
        <v>311</v>
      </c>
      <c r="G32" s="9" t="s">
        <v>250</v>
      </c>
      <c r="H32" s="9" t="s">
        <v>251</v>
      </c>
    </row>
    <row r="33" spans="1:8" x14ac:dyDescent="0.25">
      <c r="A33" s="8">
        <v>2210</v>
      </c>
      <c r="B33" s="9" t="s">
        <v>312</v>
      </c>
      <c r="C33" s="9" t="s">
        <v>300</v>
      </c>
      <c r="D33" s="9" t="s">
        <v>301</v>
      </c>
      <c r="E33" s="9" t="s">
        <v>283</v>
      </c>
      <c r="F33" s="9"/>
      <c r="G33" s="9" t="s">
        <v>250</v>
      </c>
      <c r="H33" s="9" t="s">
        <v>251</v>
      </c>
    </row>
    <row r="34" spans="1:8" x14ac:dyDescent="0.25">
      <c r="A34" s="8">
        <v>2220</v>
      </c>
      <c r="B34" s="9" t="s">
        <v>313</v>
      </c>
      <c r="C34" s="9" t="s">
        <v>300</v>
      </c>
      <c r="D34" s="9" t="s">
        <v>301</v>
      </c>
      <c r="E34" s="9" t="s">
        <v>283</v>
      </c>
      <c r="F34" s="9"/>
      <c r="G34" s="9" t="s">
        <v>250</v>
      </c>
      <c r="H34" s="9" t="s">
        <v>251</v>
      </c>
    </row>
    <row r="35" spans="1:8" x14ac:dyDescent="0.25">
      <c r="A35" s="8">
        <v>2300</v>
      </c>
      <c r="B35" s="9" t="s">
        <v>314</v>
      </c>
      <c r="C35" s="9" t="s">
        <v>300</v>
      </c>
      <c r="D35" s="9" t="s">
        <v>301</v>
      </c>
      <c r="E35" s="9" t="s">
        <v>283</v>
      </c>
      <c r="F35" s="9" t="s">
        <v>315</v>
      </c>
      <c r="G35" s="9" t="s">
        <v>250</v>
      </c>
      <c r="H35" s="9" t="s">
        <v>251</v>
      </c>
    </row>
    <row r="36" spans="1:8" x14ac:dyDescent="0.25">
      <c r="A36" s="8">
        <v>2400</v>
      </c>
      <c r="B36" s="9" t="s">
        <v>316</v>
      </c>
      <c r="C36" s="9" t="s">
        <v>300</v>
      </c>
      <c r="D36" s="9" t="s">
        <v>301</v>
      </c>
      <c r="E36" s="9" t="s">
        <v>283</v>
      </c>
      <c r="F36" s="9" t="s">
        <v>317</v>
      </c>
      <c r="G36" s="9" t="s">
        <v>250</v>
      </c>
      <c r="H36" s="9" t="s">
        <v>251</v>
      </c>
    </row>
    <row r="37" spans="1:8" x14ac:dyDescent="0.25">
      <c r="A37" s="8">
        <v>2500</v>
      </c>
      <c r="B37" s="9" t="s">
        <v>318</v>
      </c>
      <c r="C37" s="9" t="s">
        <v>300</v>
      </c>
      <c r="D37" s="9" t="s">
        <v>319</v>
      </c>
      <c r="E37" s="9" t="s">
        <v>283</v>
      </c>
      <c r="F37" s="9" t="s">
        <v>320</v>
      </c>
      <c r="G37" s="9" t="s">
        <v>250</v>
      </c>
      <c r="H37" s="9" t="s">
        <v>279</v>
      </c>
    </row>
    <row r="38" spans="1:8" x14ac:dyDescent="0.25">
      <c r="A38" s="8">
        <v>2510</v>
      </c>
      <c r="B38" s="9" t="s">
        <v>321</v>
      </c>
      <c r="C38" s="9" t="s">
        <v>300</v>
      </c>
      <c r="D38" s="9" t="s">
        <v>319</v>
      </c>
      <c r="E38" s="9" t="s">
        <v>283</v>
      </c>
      <c r="F38" s="9" t="s">
        <v>322</v>
      </c>
      <c r="G38" s="9" t="s">
        <v>250</v>
      </c>
      <c r="H38" s="9" t="s">
        <v>251</v>
      </c>
    </row>
    <row r="39" spans="1:8" x14ac:dyDescent="0.25">
      <c r="A39" s="8">
        <v>2520</v>
      </c>
      <c r="B39" s="9" t="s">
        <v>323</v>
      </c>
      <c r="C39" s="9" t="s">
        <v>300</v>
      </c>
      <c r="D39" s="9" t="s">
        <v>319</v>
      </c>
      <c r="E39" s="9" t="s">
        <v>283</v>
      </c>
      <c r="F39" s="9" t="s">
        <v>324</v>
      </c>
      <c r="G39" s="9" t="s">
        <v>250</v>
      </c>
      <c r="H39" s="9" t="s">
        <v>251</v>
      </c>
    </row>
    <row r="40" spans="1:8" x14ac:dyDescent="0.25">
      <c r="A40" s="8">
        <v>2530</v>
      </c>
      <c r="B40" s="9" t="s">
        <v>325</v>
      </c>
      <c r="C40" s="9" t="s">
        <v>300</v>
      </c>
      <c r="D40" s="9" t="s">
        <v>319</v>
      </c>
      <c r="E40" s="9" t="s">
        <v>283</v>
      </c>
      <c r="F40" s="9" t="s">
        <v>326</v>
      </c>
      <c r="G40" s="9" t="s">
        <v>250</v>
      </c>
      <c r="H40" s="9" t="s">
        <v>251</v>
      </c>
    </row>
    <row r="41" spans="1:8" x14ac:dyDescent="0.25">
      <c r="A41" s="8">
        <v>2600</v>
      </c>
      <c r="B41" s="9" t="s">
        <v>327</v>
      </c>
      <c r="C41" s="9" t="s">
        <v>300</v>
      </c>
      <c r="D41" s="9" t="s">
        <v>319</v>
      </c>
      <c r="E41" s="9" t="s">
        <v>283</v>
      </c>
      <c r="F41" s="9" t="s">
        <v>328</v>
      </c>
      <c r="G41" s="9" t="s">
        <v>250</v>
      </c>
      <c r="H41" s="9" t="s">
        <v>251</v>
      </c>
    </row>
    <row r="42" spans="1:8" x14ac:dyDescent="0.25">
      <c r="A42" s="8">
        <v>2700</v>
      </c>
      <c r="B42" s="9" t="s">
        <v>329</v>
      </c>
      <c r="C42" s="9" t="s">
        <v>300</v>
      </c>
      <c r="D42" s="9" t="s">
        <v>319</v>
      </c>
      <c r="E42" s="9" t="s">
        <v>283</v>
      </c>
      <c r="F42" s="9" t="s">
        <v>330</v>
      </c>
      <c r="G42" s="9" t="s">
        <v>250</v>
      </c>
      <c r="H42" s="9" t="s">
        <v>251</v>
      </c>
    </row>
    <row r="43" spans="1:8" x14ac:dyDescent="0.25">
      <c r="A43" s="8">
        <v>2800</v>
      </c>
      <c r="B43" s="9" t="s">
        <v>331</v>
      </c>
      <c r="C43" s="9" t="s">
        <v>300</v>
      </c>
      <c r="D43" s="9" t="s">
        <v>301</v>
      </c>
      <c r="E43" s="9" t="s">
        <v>283</v>
      </c>
      <c r="F43" s="9" t="s">
        <v>332</v>
      </c>
      <c r="G43" s="9" t="s">
        <v>250</v>
      </c>
      <c r="H43" s="9" t="s">
        <v>251</v>
      </c>
    </row>
    <row r="44" spans="1:8" x14ac:dyDescent="0.25">
      <c r="A44" s="8">
        <v>2810</v>
      </c>
      <c r="B44" s="9" t="s">
        <v>333</v>
      </c>
      <c r="C44" s="9" t="s">
        <v>300</v>
      </c>
      <c r="D44" s="9" t="s">
        <v>301</v>
      </c>
      <c r="E44" s="9" t="s">
        <v>283</v>
      </c>
      <c r="F44" s="9" t="s">
        <v>334</v>
      </c>
      <c r="G44" s="9" t="s">
        <v>250</v>
      </c>
      <c r="H44" s="9" t="s">
        <v>251</v>
      </c>
    </row>
    <row r="45" spans="1:8" x14ac:dyDescent="0.25">
      <c r="A45" s="8">
        <v>2900</v>
      </c>
      <c r="B45" s="9" t="s">
        <v>335</v>
      </c>
      <c r="C45" s="9" t="s">
        <v>300</v>
      </c>
      <c r="D45" s="9" t="s">
        <v>336</v>
      </c>
      <c r="E45" s="9" t="s">
        <v>283</v>
      </c>
      <c r="F45" s="9" t="s">
        <v>298</v>
      </c>
      <c r="G45" s="9" t="s">
        <v>250</v>
      </c>
      <c r="H45" s="9" t="s">
        <v>251</v>
      </c>
    </row>
    <row r="46" spans="1:8" x14ac:dyDescent="0.25">
      <c r="A46" s="10">
        <v>3000</v>
      </c>
      <c r="B46" s="11" t="s">
        <v>337</v>
      </c>
      <c r="C46" s="11" t="s">
        <v>338</v>
      </c>
      <c r="D46" s="11" t="s">
        <v>339</v>
      </c>
      <c r="E46" s="11" t="s">
        <v>283</v>
      </c>
      <c r="F46" s="11" t="s">
        <v>340</v>
      </c>
      <c r="G46" s="11" t="s">
        <v>250</v>
      </c>
      <c r="H46" s="11" t="s">
        <v>251</v>
      </c>
    </row>
    <row r="47" spans="1:8" x14ac:dyDescent="0.25">
      <c r="A47" s="10">
        <v>3010</v>
      </c>
      <c r="B47" s="11" t="s">
        <v>341</v>
      </c>
      <c r="C47" s="11" t="s">
        <v>338</v>
      </c>
      <c r="D47" s="11" t="s">
        <v>341</v>
      </c>
      <c r="E47" s="11" t="s">
        <v>283</v>
      </c>
      <c r="F47" s="11" t="s">
        <v>342</v>
      </c>
      <c r="G47" s="11" t="s">
        <v>250</v>
      </c>
      <c r="H47" s="11" t="s">
        <v>251</v>
      </c>
    </row>
    <row r="48" spans="1:8" x14ac:dyDescent="0.25">
      <c r="A48" s="10">
        <v>3020</v>
      </c>
      <c r="B48" s="11" t="s">
        <v>343</v>
      </c>
      <c r="C48" s="11" t="s">
        <v>338</v>
      </c>
      <c r="D48" s="11" t="s">
        <v>339</v>
      </c>
      <c r="E48" s="11" t="s">
        <v>248</v>
      </c>
      <c r="F48" s="11" t="s">
        <v>344</v>
      </c>
      <c r="G48" s="11" t="s">
        <v>250</v>
      </c>
      <c r="H48" s="11" t="s">
        <v>251</v>
      </c>
    </row>
    <row r="49" spans="1:8" x14ac:dyDescent="0.25">
      <c r="A49" s="10">
        <v>3030</v>
      </c>
      <c r="B49" s="11" t="s">
        <v>345</v>
      </c>
      <c r="C49" s="11" t="s">
        <v>338</v>
      </c>
      <c r="D49" s="11" t="s">
        <v>339</v>
      </c>
      <c r="E49" s="11" t="s">
        <v>283</v>
      </c>
      <c r="F49" s="11" t="s">
        <v>346</v>
      </c>
      <c r="G49" s="11" t="s">
        <v>250</v>
      </c>
      <c r="H49" s="11" t="s">
        <v>251</v>
      </c>
    </row>
    <row r="50" spans="1:8" x14ac:dyDescent="0.25">
      <c r="A50" s="10">
        <v>3100</v>
      </c>
      <c r="B50" s="11" t="s">
        <v>347</v>
      </c>
      <c r="C50" s="11" t="s">
        <v>338</v>
      </c>
      <c r="D50" s="11" t="s">
        <v>348</v>
      </c>
      <c r="E50" s="11" t="s">
        <v>283</v>
      </c>
      <c r="F50" s="11" t="s">
        <v>349</v>
      </c>
      <c r="G50" s="11" t="s">
        <v>250</v>
      </c>
      <c r="H50" s="11" t="s">
        <v>251</v>
      </c>
    </row>
    <row r="51" spans="1:8" x14ac:dyDescent="0.25">
      <c r="A51" s="10">
        <v>3110</v>
      </c>
      <c r="B51" s="11" t="s">
        <v>350</v>
      </c>
      <c r="C51" s="11" t="s">
        <v>338</v>
      </c>
      <c r="D51" s="11" t="s">
        <v>348</v>
      </c>
      <c r="E51" s="11" t="s">
        <v>283</v>
      </c>
      <c r="F51" s="11" t="s">
        <v>351</v>
      </c>
      <c r="G51" s="11" t="s">
        <v>250</v>
      </c>
      <c r="H51" s="11" t="s">
        <v>251</v>
      </c>
    </row>
    <row r="52" spans="1:8" x14ac:dyDescent="0.25">
      <c r="A52" s="10">
        <v>3200</v>
      </c>
      <c r="B52" s="11" t="s">
        <v>352</v>
      </c>
      <c r="C52" s="11" t="s">
        <v>338</v>
      </c>
      <c r="D52" s="11" t="s">
        <v>353</v>
      </c>
      <c r="E52" s="11" t="s">
        <v>248</v>
      </c>
      <c r="F52" s="11" t="s">
        <v>354</v>
      </c>
      <c r="G52" s="11" t="s">
        <v>250</v>
      </c>
      <c r="H52" s="11" t="s">
        <v>251</v>
      </c>
    </row>
    <row r="53" spans="1:8" x14ac:dyDescent="0.25">
      <c r="A53" s="12">
        <v>4000</v>
      </c>
      <c r="B53" s="13" t="s">
        <v>355</v>
      </c>
      <c r="C53" s="13" t="s">
        <v>356</v>
      </c>
      <c r="D53" s="13" t="s">
        <v>357</v>
      </c>
      <c r="E53" s="13" t="s">
        <v>283</v>
      </c>
      <c r="F53" s="13" t="s">
        <v>358</v>
      </c>
      <c r="G53" s="13" t="s">
        <v>250</v>
      </c>
      <c r="H53" s="13" t="s">
        <v>251</v>
      </c>
    </row>
    <row r="54" spans="1:8" x14ac:dyDescent="0.25">
      <c r="A54" s="12">
        <v>4010</v>
      </c>
      <c r="B54" s="13" t="s">
        <v>359</v>
      </c>
      <c r="C54" s="13" t="s">
        <v>356</v>
      </c>
      <c r="D54" s="13" t="s">
        <v>357</v>
      </c>
      <c r="E54" s="13" t="s">
        <v>283</v>
      </c>
      <c r="F54" s="13" t="s">
        <v>360</v>
      </c>
      <c r="G54" s="13" t="s">
        <v>250</v>
      </c>
      <c r="H54" s="13" t="s">
        <v>251</v>
      </c>
    </row>
    <row r="55" spans="1:8" x14ac:dyDescent="0.25">
      <c r="A55" s="12">
        <v>4020</v>
      </c>
      <c r="B55" s="13" t="s">
        <v>361</v>
      </c>
      <c r="C55" s="13" t="s">
        <v>356</v>
      </c>
      <c r="D55" s="13" t="s">
        <v>357</v>
      </c>
      <c r="E55" s="13" t="s">
        <v>283</v>
      </c>
      <c r="F55" s="13" t="s">
        <v>362</v>
      </c>
      <c r="G55" s="13" t="s">
        <v>250</v>
      </c>
      <c r="H55" s="13" t="s">
        <v>251</v>
      </c>
    </row>
    <row r="56" spans="1:8" x14ac:dyDescent="0.25">
      <c r="A56" s="12">
        <v>4030</v>
      </c>
      <c r="B56" s="13" t="s">
        <v>363</v>
      </c>
      <c r="C56" s="13" t="s">
        <v>356</v>
      </c>
      <c r="D56" s="13" t="s">
        <v>357</v>
      </c>
      <c r="E56" s="13" t="s">
        <v>283</v>
      </c>
      <c r="F56" s="13" t="s">
        <v>364</v>
      </c>
      <c r="G56" s="13" t="s">
        <v>250</v>
      </c>
      <c r="H56" s="13" t="s">
        <v>251</v>
      </c>
    </row>
    <row r="57" spans="1:8" x14ac:dyDescent="0.25">
      <c r="A57" s="12">
        <v>4040</v>
      </c>
      <c r="B57" s="13" t="s">
        <v>365</v>
      </c>
      <c r="C57" s="13" t="s">
        <v>356</v>
      </c>
      <c r="D57" s="13" t="s">
        <v>357</v>
      </c>
      <c r="E57" s="13" t="s">
        <v>283</v>
      </c>
      <c r="F57" s="13" t="s">
        <v>366</v>
      </c>
      <c r="G57" s="13" t="s">
        <v>250</v>
      </c>
      <c r="H57" s="13" t="s">
        <v>251</v>
      </c>
    </row>
    <row r="58" spans="1:8" x14ac:dyDescent="0.25">
      <c r="A58" s="12">
        <v>4050</v>
      </c>
      <c r="B58" s="13" t="s">
        <v>367</v>
      </c>
      <c r="C58" s="13" t="s">
        <v>356</v>
      </c>
      <c r="D58" s="13" t="s">
        <v>357</v>
      </c>
      <c r="E58" s="13" t="s">
        <v>283</v>
      </c>
      <c r="F58" s="13" t="s">
        <v>368</v>
      </c>
      <c r="G58" s="13" t="s">
        <v>250</v>
      </c>
      <c r="H58" s="13" t="s">
        <v>251</v>
      </c>
    </row>
    <row r="59" spans="1:8" x14ac:dyDescent="0.25">
      <c r="A59" s="12">
        <v>4100</v>
      </c>
      <c r="B59" s="13" t="s">
        <v>369</v>
      </c>
      <c r="C59" s="13" t="s">
        <v>356</v>
      </c>
      <c r="D59" s="13" t="s">
        <v>370</v>
      </c>
      <c r="E59" s="13" t="s">
        <v>283</v>
      </c>
      <c r="F59" s="13" t="s">
        <v>371</v>
      </c>
      <c r="G59" s="13" t="s">
        <v>250</v>
      </c>
      <c r="H59" s="13" t="s">
        <v>251</v>
      </c>
    </row>
    <row r="60" spans="1:8" x14ac:dyDescent="0.25">
      <c r="A60" s="12">
        <v>4110</v>
      </c>
      <c r="B60" s="13" t="s">
        <v>372</v>
      </c>
      <c r="C60" s="13" t="s">
        <v>356</v>
      </c>
      <c r="D60" s="13" t="s">
        <v>370</v>
      </c>
      <c r="E60" s="13" t="s">
        <v>283</v>
      </c>
      <c r="F60" s="13" t="s">
        <v>373</v>
      </c>
      <c r="G60" s="13" t="s">
        <v>250</v>
      </c>
      <c r="H60" s="13" t="s">
        <v>86</v>
      </c>
    </row>
    <row r="61" spans="1:8" x14ac:dyDescent="0.25">
      <c r="A61" s="12">
        <v>4120</v>
      </c>
      <c r="B61" s="13" t="s">
        <v>374</v>
      </c>
      <c r="C61" s="13" t="s">
        <v>356</v>
      </c>
      <c r="D61" s="13" t="s">
        <v>370</v>
      </c>
      <c r="E61" s="13" t="s">
        <v>283</v>
      </c>
      <c r="F61" s="13" t="s">
        <v>375</v>
      </c>
      <c r="G61" s="13" t="s">
        <v>250</v>
      </c>
      <c r="H61" s="13" t="s">
        <v>90</v>
      </c>
    </row>
    <row r="62" spans="1:8" x14ac:dyDescent="0.25">
      <c r="A62" s="12">
        <v>4200</v>
      </c>
      <c r="B62" s="13" t="s">
        <v>376</v>
      </c>
      <c r="C62" s="13" t="s">
        <v>356</v>
      </c>
      <c r="D62" s="13" t="s">
        <v>370</v>
      </c>
      <c r="E62" s="13" t="s">
        <v>283</v>
      </c>
      <c r="F62" s="13" t="s">
        <v>377</v>
      </c>
      <c r="G62" s="13" t="s">
        <v>250</v>
      </c>
      <c r="H62" s="13" t="s">
        <v>251</v>
      </c>
    </row>
    <row r="63" spans="1:8" x14ac:dyDescent="0.25">
      <c r="A63" s="12">
        <v>4300</v>
      </c>
      <c r="B63" s="13" t="s">
        <v>378</v>
      </c>
      <c r="C63" s="13" t="s">
        <v>356</v>
      </c>
      <c r="D63" s="13" t="s">
        <v>370</v>
      </c>
      <c r="E63" s="13" t="s">
        <v>283</v>
      </c>
      <c r="F63" s="13" t="s">
        <v>379</v>
      </c>
      <c r="G63" s="13" t="s">
        <v>250</v>
      </c>
      <c r="H63" s="13" t="s">
        <v>251</v>
      </c>
    </row>
    <row r="64" spans="1:8" x14ac:dyDescent="0.25">
      <c r="A64" s="12">
        <v>4400</v>
      </c>
      <c r="B64" s="13" t="s">
        <v>380</v>
      </c>
      <c r="C64" s="13" t="s">
        <v>356</v>
      </c>
      <c r="D64" s="13" t="s">
        <v>370</v>
      </c>
      <c r="E64" s="13" t="s">
        <v>283</v>
      </c>
      <c r="F64" s="13" t="s">
        <v>381</v>
      </c>
      <c r="G64" s="13" t="s">
        <v>250</v>
      </c>
      <c r="H64" s="13" t="s">
        <v>251</v>
      </c>
    </row>
    <row r="65" spans="1:8" x14ac:dyDescent="0.25">
      <c r="A65" s="14">
        <v>5000</v>
      </c>
      <c r="B65" s="15" t="s">
        <v>382</v>
      </c>
      <c r="C65" s="15" t="s">
        <v>383</v>
      </c>
      <c r="D65" s="15" t="s">
        <v>384</v>
      </c>
      <c r="E65" s="15" t="s">
        <v>248</v>
      </c>
      <c r="F65" s="15" t="s">
        <v>385</v>
      </c>
      <c r="G65" s="15" t="s">
        <v>250</v>
      </c>
      <c r="H65" s="15" t="s">
        <v>251</v>
      </c>
    </row>
    <row r="66" spans="1:8" x14ac:dyDescent="0.25">
      <c r="A66" s="14">
        <v>5010</v>
      </c>
      <c r="B66" s="15" t="s">
        <v>386</v>
      </c>
      <c r="C66" s="15" t="s">
        <v>383</v>
      </c>
      <c r="D66" s="15" t="s">
        <v>384</v>
      </c>
      <c r="E66" s="15" t="s">
        <v>248</v>
      </c>
      <c r="F66" s="15" t="s">
        <v>387</v>
      </c>
      <c r="G66" s="15" t="s">
        <v>250</v>
      </c>
      <c r="H66" s="15" t="s">
        <v>251</v>
      </c>
    </row>
    <row r="67" spans="1:8" x14ac:dyDescent="0.25">
      <c r="A67" s="14">
        <v>5100</v>
      </c>
      <c r="B67" s="15" t="s">
        <v>388</v>
      </c>
      <c r="C67" s="15" t="s">
        <v>383</v>
      </c>
      <c r="D67" s="15" t="s">
        <v>384</v>
      </c>
      <c r="E67" s="15" t="s">
        <v>248</v>
      </c>
      <c r="F67" s="15" t="s">
        <v>389</v>
      </c>
      <c r="G67" s="15" t="s">
        <v>250</v>
      </c>
      <c r="H67" s="15" t="s">
        <v>251</v>
      </c>
    </row>
    <row r="68" spans="1:8" x14ac:dyDescent="0.25">
      <c r="A68" s="14">
        <v>5110</v>
      </c>
      <c r="B68" s="15" t="s">
        <v>390</v>
      </c>
      <c r="C68" s="15" t="s">
        <v>383</v>
      </c>
      <c r="D68" s="15" t="s">
        <v>384</v>
      </c>
      <c r="E68" s="15" t="s">
        <v>248</v>
      </c>
      <c r="F68" s="15" t="s">
        <v>391</v>
      </c>
      <c r="G68" s="15" t="s">
        <v>250</v>
      </c>
      <c r="H68" s="15" t="s">
        <v>251</v>
      </c>
    </row>
    <row r="69" spans="1:8" x14ac:dyDescent="0.25">
      <c r="A69" s="14">
        <v>5120</v>
      </c>
      <c r="B69" s="15" t="s">
        <v>392</v>
      </c>
      <c r="C69" s="15" t="s">
        <v>383</v>
      </c>
      <c r="D69" s="15" t="s">
        <v>384</v>
      </c>
      <c r="E69" s="15" t="s">
        <v>248</v>
      </c>
      <c r="F69" s="15" t="s">
        <v>393</v>
      </c>
      <c r="G69" s="15" t="s">
        <v>250</v>
      </c>
      <c r="H69" s="15" t="s">
        <v>251</v>
      </c>
    </row>
    <row r="70" spans="1:8" x14ac:dyDescent="0.25">
      <c r="A70" s="14">
        <v>5130</v>
      </c>
      <c r="B70" s="15" t="s">
        <v>394</v>
      </c>
      <c r="C70" s="15" t="s">
        <v>383</v>
      </c>
      <c r="D70" s="15" t="s">
        <v>384</v>
      </c>
      <c r="E70" s="15" t="s">
        <v>248</v>
      </c>
      <c r="F70" s="15" t="s">
        <v>395</v>
      </c>
      <c r="G70" s="15" t="s">
        <v>250</v>
      </c>
      <c r="H70" s="15" t="s">
        <v>251</v>
      </c>
    </row>
    <row r="71" spans="1:8" x14ac:dyDescent="0.25">
      <c r="A71" s="14">
        <v>5200</v>
      </c>
      <c r="B71" s="15" t="s">
        <v>396</v>
      </c>
      <c r="C71" s="15" t="s">
        <v>383</v>
      </c>
      <c r="D71" s="15" t="s">
        <v>384</v>
      </c>
      <c r="E71" s="15" t="s">
        <v>248</v>
      </c>
      <c r="F71" s="15" t="s">
        <v>397</v>
      </c>
      <c r="G71" s="15" t="s">
        <v>250</v>
      </c>
      <c r="H71" s="15" t="s">
        <v>251</v>
      </c>
    </row>
    <row r="72" spans="1:8" x14ac:dyDescent="0.25">
      <c r="A72" s="14">
        <v>5210</v>
      </c>
      <c r="B72" s="15" t="s">
        <v>398</v>
      </c>
      <c r="C72" s="15" t="s">
        <v>383</v>
      </c>
      <c r="D72" s="15" t="s">
        <v>384</v>
      </c>
      <c r="E72" s="15" t="s">
        <v>248</v>
      </c>
      <c r="F72" s="15" t="s">
        <v>399</v>
      </c>
      <c r="G72" s="15" t="s">
        <v>250</v>
      </c>
      <c r="H72" s="15" t="s">
        <v>251</v>
      </c>
    </row>
    <row r="73" spans="1:8" x14ac:dyDescent="0.25">
      <c r="A73" s="14">
        <v>5220</v>
      </c>
      <c r="B73" s="15" t="s">
        <v>400</v>
      </c>
      <c r="C73" s="15" t="s">
        <v>383</v>
      </c>
      <c r="D73" s="15" t="s">
        <v>384</v>
      </c>
      <c r="E73" s="15" t="s">
        <v>248</v>
      </c>
      <c r="F73" s="15" t="s">
        <v>401</v>
      </c>
      <c r="G73" s="15" t="s">
        <v>250</v>
      </c>
      <c r="H73" s="15" t="s">
        <v>251</v>
      </c>
    </row>
    <row r="74" spans="1:8" x14ac:dyDescent="0.25">
      <c r="A74" s="14">
        <v>5230</v>
      </c>
      <c r="B74" s="15" t="s">
        <v>402</v>
      </c>
      <c r="C74" s="15" t="s">
        <v>383</v>
      </c>
      <c r="D74" s="15" t="s">
        <v>384</v>
      </c>
      <c r="E74" s="15" t="s">
        <v>248</v>
      </c>
      <c r="F74" s="15" t="s">
        <v>403</v>
      </c>
      <c r="G74" s="15" t="s">
        <v>250</v>
      </c>
      <c r="H74" s="15" t="s">
        <v>251</v>
      </c>
    </row>
    <row r="75" spans="1:8" x14ac:dyDescent="0.25">
      <c r="A75" s="14">
        <v>5240</v>
      </c>
      <c r="B75" s="15" t="s">
        <v>404</v>
      </c>
      <c r="C75" s="15" t="s">
        <v>383</v>
      </c>
      <c r="D75" s="15" t="s">
        <v>384</v>
      </c>
      <c r="E75" s="15" t="s">
        <v>248</v>
      </c>
      <c r="F75" s="15" t="s">
        <v>405</v>
      </c>
      <c r="G75" s="15" t="s">
        <v>250</v>
      </c>
      <c r="H75" s="15" t="s">
        <v>251</v>
      </c>
    </row>
    <row r="76" spans="1:8" x14ac:dyDescent="0.25">
      <c r="A76" s="14">
        <v>5300</v>
      </c>
      <c r="B76" s="15" t="s">
        <v>406</v>
      </c>
      <c r="C76" s="15" t="s">
        <v>383</v>
      </c>
      <c r="D76" s="15" t="s">
        <v>384</v>
      </c>
      <c r="E76" s="15" t="s">
        <v>248</v>
      </c>
      <c r="F76" s="15" t="s">
        <v>407</v>
      </c>
      <c r="G76" s="15" t="s">
        <v>250</v>
      </c>
      <c r="H76" s="15" t="s">
        <v>251</v>
      </c>
    </row>
    <row r="77" spans="1:8" x14ac:dyDescent="0.25">
      <c r="A77" s="14">
        <v>5400</v>
      </c>
      <c r="B77" s="15" t="s">
        <v>408</v>
      </c>
      <c r="C77" s="15" t="s">
        <v>383</v>
      </c>
      <c r="D77" s="15" t="s">
        <v>384</v>
      </c>
      <c r="E77" s="15" t="s">
        <v>248</v>
      </c>
      <c r="F77" s="15" t="s">
        <v>189</v>
      </c>
      <c r="G77" s="15" t="s">
        <v>250</v>
      </c>
      <c r="H77" s="15" t="s">
        <v>251</v>
      </c>
    </row>
    <row r="78" spans="1:8" x14ac:dyDescent="0.25">
      <c r="A78" s="16">
        <v>6000</v>
      </c>
      <c r="B78" s="17" t="s">
        <v>409</v>
      </c>
      <c r="C78" s="17" t="s">
        <v>410</v>
      </c>
      <c r="D78" s="17" t="s">
        <v>411</v>
      </c>
      <c r="E78" s="17" t="s">
        <v>248</v>
      </c>
      <c r="F78" s="17" t="s">
        <v>412</v>
      </c>
      <c r="G78" s="17" t="s">
        <v>250</v>
      </c>
      <c r="H78" s="17" t="s">
        <v>251</v>
      </c>
    </row>
    <row r="79" spans="1:8" x14ac:dyDescent="0.25">
      <c r="A79" s="16">
        <v>6010</v>
      </c>
      <c r="B79" s="17" t="s">
        <v>413</v>
      </c>
      <c r="C79" s="17" t="s">
        <v>410</v>
      </c>
      <c r="D79" s="17" t="s">
        <v>411</v>
      </c>
      <c r="E79" s="17" t="s">
        <v>248</v>
      </c>
      <c r="F79" s="17" t="s">
        <v>414</v>
      </c>
      <c r="G79" s="17" t="s">
        <v>250</v>
      </c>
      <c r="H79" s="17" t="s">
        <v>251</v>
      </c>
    </row>
    <row r="80" spans="1:8" x14ac:dyDescent="0.25">
      <c r="A80" s="16">
        <v>6100</v>
      </c>
      <c r="B80" s="17" t="s">
        <v>415</v>
      </c>
      <c r="C80" s="17" t="s">
        <v>410</v>
      </c>
      <c r="D80" s="17" t="s">
        <v>411</v>
      </c>
      <c r="E80" s="17" t="s">
        <v>248</v>
      </c>
      <c r="F80" s="17" t="s">
        <v>416</v>
      </c>
      <c r="G80" s="17" t="s">
        <v>250</v>
      </c>
      <c r="H80" s="17" t="s">
        <v>251</v>
      </c>
    </row>
    <row r="81" spans="1:8" x14ac:dyDescent="0.25">
      <c r="A81" s="16">
        <v>6110</v>
      </c>
      <c r="B81" s="17" t="s">
        <v>417</v>
      </c>
      <c r="C81" s="17" t="s">
        <v>410</v>
      </c>
      <c r="D81" s="17" t="s">
        <v>411</v>
      </c>
      <c r="E81" s="17" t="s">
        <v>248</v>
      </c>
      <c r="F81" s="17" t="s">
        <v>418</v>
      </c>
      <c r="G81" s="17" t="s">
        <v>250</v>
      </c>
      <c r="H81" s="17" t="s">
        <v>251</v>
      </c>
    </row>
    <row r="82" spans="1:8" x14ac:dyDescent="0.25">
      <c r="A82" s="16">
        <v>6120</v>
      </c>
      <c r="B82" s="17" t="s">
        <v>419</v>
      </c>
      <c r="C82" s="17" t="s">
        <v>410</v>
      </c>
      <c r="D82" s="17" t="s">
        <v>411</v>
      </c>
      <c r="E82" s="17" t="s">
        <v>248</v>
      </c>
      <c r="F82" s="17" t="s">
        <v>420</v>
      </c>
      <c r="G82" s="17" t="s">
        <v>250</v>
      </c>
      <c r="H82" s="17" t="s">
        <v>251</v>
      </c>
    </row>
    <row r="83" spans="1:8" x14ac:dyDescent="0.25">
      <c r="A83" s="16">
        <v>6130</v>
      </c>
      <c r="B83" s="17" t="s">
        <v>421</v>
      </c>
      <c r="C83" s="17" t="s">
        <v>410</v>
      </c>
      <c r="D83" s="17" t="s">
        <v>411</v>
      </c>
      <c r="E83" s="17" t="s">
        <v>248</v>
      </c>
      <c r="F83" s="17" t="s">
        <v>422</v>
      </c>
      <c r="G83" s="17" t="s">
        <v>250</v>
      </c>
      <c r="H83" s="17" t="s">
        <v>251</v>
      </c>
    </row>
    <row r="84" spans="1:8" x14ac:dyDescent="0.25">
      <c r="A84" s="16">
        <v>6200</v>
      </c>
      <c r="B84" s="17" t="s">
        <v>423</v>
      </c>
      <c r="C84" s="17" t="s">
        <v>410</v>
      </c>
      <c r="D84" s="17" t="s">
        <v>411</v>
      </c>
      <c r="E84" s="17" t="s">
        <v>248</v>
      </c>
      <c r="F84" s="17" t="s">
        <v>424</v>
      </c>
      <c r="G84" s="17" t="s">
        <v>250</v>
      </c>
      <c r="H84" s="17" t="s">
        <v>251</v>
      </c>
    </row>
    <row r="85" spans="1:8" x14ac:dyDescent="0.25">
      <c r="A85" s="16">
        <v>6210</v>
      </c>
      <c r="B85" s="17" t="s">
        <v>425</v>
      </c>
      <c r="C85" s="17" t="s">
        <v>410</v>
      </c>
      <c r="D85" s="17" t="s">
        <v>411</v>
      </c>
      <c r="E85" s="17" t="s">
        <v>248</v>
      </c>
      <c r="F85" s="17" t="s">
        <v>426</v>
      </c>
      <c r="G85" s="17" t="s">
        <v>250</v>
      </c>
      <c r="H85" s="17" t="s">
        <v>251</v>
      </c>
    </row>
    <row r="86" spans="1:8" x14ac:dyDescent="0.25">
      <c r="A86" s="16">
        <v>6220</v>
      </c>
      <c r="B86" s="17" t="s">
        <v>427</v>
      </c>
      <c r="C86" s="17" t="s">
        <v>410</v>
      </c>
      <c r="D86" s="17" t="s">
        <v>411</v>
      </c>
      <c r="E86" s="17" t="s">
        <v>248</v>
      </c>
      <c r="F86" s="17" t="s">
        <v>428</v>
      </c>
      <c r="G86" s="17" t="s">
        <v>250</v>
      </c>
      <c r="H86" s="17" t="s">
        <v>251</v>
      </c>
    </row>
    <row r="87" spans="1:8" x14ac:dyDescent="0.25">
      <c r="A87" s="16">
        <v>6300</v>
      </c>
      <c r="B87" s="17" t="s">
        <v>429</v>
      </c>
      <c r="C87" s="17" t="s">
        <v>410</v>
      </c>
      <c r="D87" s="17" t="s">
        <v>411</v>
      </c>
      <c r="E87" s="17" t="s">
        <v>248</v>
      </c>
      <c r="F87" s="17" t="s">
        <v>430</v>
      </c>
      <c r="G87" s="17" t="s">
        <v>250</v>
      </c>
      <c r="H87" s="17" t="s">
        <v>251</v>
      </c>
    </row>
    <row r="88" spans="1:8" x14ac:dyDescent="0.25">
      <c r="A88" s="16">
        <v>6310</v>
      </c>
      <c r="B88" s="17" t="s">
        <v>431</v>
      </c>
      <c r="C88" s="17" t="s">
        <v>410</v>
      </c>
      <c r="D88" s="17" t="s">
        <v>411</v>
      </c>
      <c r="E88" s="17" t="s">
        <v>248</v>
      </c>
      <c r="F88" s="17" t="s">
        <v>432</v>
      </c>
      <c r="G88" s="17" t="s">
        <v>250</v>
      </c>
      <c r="H88" s="17" t="s">
        <v>251</v>
      </c>
    </row>
    <row r="89" spans="1:8" x14ac:dyDescent="0.25">
      <c r="A89" s="16">
        <v>6320</v>
      </c>
      <c r="B89" s="17" t="s">
        <v>433</v>
      </c>
      <c r="C89" s="17" t="s">
        <v>410</v>
      </c>
      <c r="D89" s="17" t="s">
        <v>411</v>
      </c>
      <c r="E89" s="17" t="s">
        <v>248</v>
      </c>
      <c r="F89" s="17" t="s">
        <v>434</v>
      </c>
      <c r="G89" s="17" t="s">
        <v>250</v>
      </c>
      <c r="H89" s="17" t="s">
        <v>251</v>
      </c>
    </row>
    <row r="90" spans="1:8" x14ac:dyDescent="0.25">
      <c r="A90" s="16">
        <v>6400</v>
      </c>
      <c r="B90" s="17" t="s">
        <v>435</v>
      </c>
      <c r="C90" s="17" t="s">
        <v>410</v>
      </c>
      <c r="D90" s="17" t="s">
        <v>411</v>
      </c>
      <c r="E90" s="17" t="s">
        <v>248</v>
      </c>
      <c r="F90" s="17" t="s">
        <v>436</v>
      </c>
      <c r="G90" s="17" t="s">
        <v>250</v>
      </c>
      <c r="H90" s="17" t="s">
        <v>251</v>
      </c>
    </row>
    <row r="91" spans="1:8" x14ac:dyDescent="0.25">
      <c r="A91" s="16">
        <v>6410</v>
      </c>
      <c r="B91" s="17" t="s">
        <v>437</v>
      </c>
      <c r="C91" s="17" t="s">
        <v>410</v>
      </c>
      <c r="D91" s="17" t="s">
        <v>411</v>
      </c>
      <c r="E91" s="17" t="s">
        <v>248</v>
      </c>
      <c r="F91" s="17" t="s">
        <v>438</v>
      </c>
      <c r="G91" s="17" t="s">
        <v>250</v>
      </c>
      <c r="H91" s="17" t="s">
        <v>86</v>
      </c>
    </row>
    <row r="92" spans="1:8" x14ac:dyDescent="0.25">
      <c r="A92" s="16">
        <v>6500</v>
      </c>
      <c r="B92" s="17" t="s">
        <v>439</v>
      </c>
      <c r="C92" s="17" t="s">
        <v>410</v>
      </c>
      <c r="D92" s="17" t="s">
        <v>411</v>
      </c>
      <c r="E92" s="17" t="s">
        <v>248</v>
      </c>
      <c r="F92" s="17" t="s">
        <v>440</v>
      </c>
      <c r="G92" s="17" t="s">
        <v>250</v>
      </c>
      <c r="H92" s="17" t="s">
        <v>251</v>
      </c>
    </row>
    <row r="93" spans="1:8" x14ac:dyDescent="0.25">
      <c r="A93" s="16">
        <v>6510</v>
      </c>
      <c r="B93" s="17" t="s">
        <v>441</v>
      </c>
      <c r="C93" s="17" t="s">
        <v>410</v>
      </c>
      <c r="D93" s="17" t="s">
        <v>411</v>
      </c>
      <c r="E93" s="17" t="s">
        <v>248</v>
      </c>
      <c r="F93" s="17" t="s">
        <v>442</v>
      </c>
      <c r="G93" s="17" t="s">
        <v>250</v>
      </c>
      <c r="H93" s="17" t="s">
        <v>251</v>
      </c>
    </row>
    <row r="94" spans="1:8" x14ac:dyDescent="0.25">
      <c r="A94" s="16">
        <v>6600</v>
      </c>
      <c r="B94" s="17" t="s">
        <v>443</v>
      </c>
      <c r="C94" s="17" t="s">
        <v>410</v>
      </c>
      <c r="D94" s="17" t="s">
        <v>411</v>
      </c>
      <c r="E94" s="17" t="s">
        <v>248</v>
      </c>
      <c r="F94" s="17" t="s">
        <v>444</v>
      </c>
      <c r="G94" s="17" t="s">
        <v>250</v>
      </c>
      <c r="H94" s="17" t="s">
        <v>251</v>
      </c>
    </row>
    <row r="95" spans="1:8" x14ac:dyDescent="0.25">
      <c r="A95" s="16">
        <v>6610</v>
      </c>
      <c r="B95" s="17" t="s">
        <v>445</v>
      </c>
      <c r="C95" s="17" t="s">
        <v>410</v>
      </c>
      <c r="D95" s="17" t="s">
        <v>411</v>
      </c>
      <c r="E95" s="17" t="s">
        <v>248</v>
      </c>
      <c r="F95" s="17" t="s">
        <v>446</v>
      </c>
      <c r="G95" s="17" t="s">
        <v>250</v>
      </c>
      <c r="H95" s="17" t="s">
        <v>251</v>
      </c>
    </row>
    <row r="96" spans="1:8" x14ac:dyDescent="0.25">
      <c r="A96" s="16">
        <v>6700</v>
      </c>
      <c r="B96" s="17" t="s">
        <v>447</v>
      </c>
      <c r="C96" s="17" t="s">
        <v>410</v>
      </c>
      <c r="D96" s="17" t="s">
        <v>411</v>
      </c>
      <c r="E96" s="17" t="s">
        <v>248</v>
      </c>
      <c r="F96" s="17" t="s">
        <v>448</v>
      </c>
      <c r="G96" s="17" t="s">
        <v>250</v>
      </c>
      <c r="H96" s="17" t="s">
        <v>251</v>
      </c>
    </row>
    <row r="97" spans="1:8" x14ac:dyDescent="0.25">
      <c r="A97" s="16">
        <v>6800</v>
      </c>
      <c r="B97" s="17" t="s">
        <v>449</v>
      </c>
      <c r="C97" s="17" t="s">
        <v>410</v>
      </c>
      <c r="D97" s="17" t="s">
        <v>411</v>
      </c>
      <c r="E97" s="17" t="s">
        <v>248</v>
      </c>
      <c r="F97" s="17" t="s">
        <v>450</v>
      </c>
      <c r="G97" s="17" t="s">
        <v>250</v>
      </c>
      <c r="H97" s="17" t="s">
        <v>251</v>
      </c>
    </row>
    <row r="98" spans="1:8" x14ac:dyDescent="0.25">
      <c r="A98" s="16">
        <v>6810</v>
      </c>
      <c r="B98" s="17" t="s">
        <v>451</v>
      </c>
      <c r="C98" s="17" t="s">
        <v>410</v>
      </c>
      <c r="D98" s="17" t="s">
        <v>411</v>
      </c>
      <c r="E98" s="17" t="s">
        <v>248</v>
      </c>
      <c r="F98" s="17" t="s">
        <v>452</v>
      </c>
      <c r="G98" s="17" t="s">
        <v>250</v>
      </c>
      <c r="H98" s="17" t="s">
        <v>279</v>
      </c>
    </row>
    <row r="99" spans="1:8" x14ac:dyDescent="0.25">
      <c r="A99" s="16">
        <v>6900</v>
      </c>
      <c r="B99" s="17" t="s">
        <v>453</v>
      </c>
      <c r="C99" s="17" t="s">
        <v>410</v>
      </c>
      <c r="D99" s="17" t="s">
        <v>411</v>
      </c>
      <c r="E99" s="17" t="s">
        <v>248</v>
      </c>
      <c r="F99" s="17" t="s">
        <v>454</v>
      </c>
      <c r="G99" s="17" t="s">
        <v>250</v>
      </c>
      <c r="H99" s="17" t="s">
        <v>251</v>
      </c>
    </row>
    <row r="100" spans="1:8" x14ac:dyDescent="0.25">
      <c r="A100" s="16">
        <v>6910</v>
      </c>
      <c r="B100" s="17" t="s">
        <v>455</v>
      </c>
      <c r="C100" s="17" t="s">
        <v>410</v>
      </c>
      <c r="D100" s="17" t="s">
        <v>411</v>
      </c>
      <c r="E100" s="17" t="s">
        <v>248</v>
      </c>
      <c r="F100" s="17"/>
      <c r="G100" s="17" t="s">
        <v>250</v>
      </c>
      <c r="H100" s="17" t="s">
        <v>279</v>
      </c>
    </row>
    <row r="101" spans="1:8" x14ac:dyDescent="0.25">
      <c r="A101" s="16">
        <v>6990</v>
      </c>
      <c r="B101" s="17" t="s">
        <v>456</v>
      </c>
      <c r="C101" s="17" t="s">
        <v>410</v>
      </c>
      <c r="D101" s="17" t="s">
        <v>411</v>
      </c>
      <c r="E101" s="17" t="s">
        <v>248</v>
      </c>
      <c r="F101" s="17" t="s">
        <v>457</v>
      </c>
      <c r="G101" s="17" t="s">
        <v>250</v>
      </c>
      <c r="H101" s="17" t="s">
        <v>251</v>
      </c>
    </row>
  </sheetData>
  <mergeCells count="1">
    <mergeCell ref="A1:H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A2744"/>
  </sheetPr>
  <dimension ref="A1:M14"/>
  <sheetViews>
    <sheetView workbookViewId="0">
      <pane ySplit="3" topLeftCell="A4" activePane="bottomLeft" state="frozen"/>
      <selection pane="bottomLeft" sqref="A1:M1"/>
    </sheetView>
  </sheetViews>
  <sheetFormatPr defaultRowHeight="15" x14ac:dyDescent="0.25"/>
  <cols>
    <col min="1" max="1" width="10" customWidth="1"/>
    <col min="2" max="2" width="12" customWidth="1"/>
    <col min="3" max="3" width="32" customWidth="1"/>
    <col min="4" max="4" width="12" customWidth="1"/>
    <col min="5" max="5" width="30" customWidth="1"/>
    <col min="6" max="6" width="14" customWidth="1"/>
    <col min="7" max="7" width="12" customWidth="1"/>
    <col min="8" max="8" width="30" customWidth="1"/>
    <col min="9" max="9" width="14" customWidth="1"/>
    <col min="10" max="10" width="12" customWidth="1"/>
    <col min="11" max="11" width="14" customWidth="1"/>
    <col min="12" max="12" width="8" customWidth="1"/>
    <col min="13" max="13" width="30" customWidth="1"/>
  </cols>
  <sheetData>
    <row r="1" spans="1:13" ht="27.95" customHeight="1" x14ac:dyDescent="0.25">
      <c r="A1" s="84" t="s">
        <v>458</v>
      </c>
      <c r="B1" s="81"/>
      <c r="C1" s="81"/>
      <c r="D1" s="81"/>
      <c r="E1" s="81"/>
      <c r="F1" s="81"/>
      <c r="G1" s="81"/>
      <c r="H1" s="81"/>
      <c r="I1" s="81"/>
      <c r="J1" s="81"/>
      <c r="K1" s="81"/>
      <c r="L1" s="81"/>
      <c r="M1" s="81"/>
    </row>
    <row r="2" spans="1:13" ht="6" customHeight="1" x14ac:dyDescent="0.25"/>
    <row r="3" spans="1:13" x14ac:dyDescent="0.25">
      <c r="A3" s="1" t="s">
        <v>459</v>
      </c>
      <c r="B3" s="1" t="s">
        <v>460</v>
      </c>
      <c r="C3" s="1" t="s">
        <v>102</v>
      </c>
      <c r="D3" s="1" t="s">
        <v>461</v>
      </c>
      <c r="E3" s="1" t="s">
        <v>462</v>
      </c>
      <c r="F3" s="1" t="s">
        <v>463</v>
      </c>
      <c r="G3" s="1" t="s">
        <v>464</v>
      </c>
      <c r="H3" s="1" t="s">
        <v>465</v>
      </c>
      <c r="I3" s="1" t="s">
        <v>466</v>
      </c>
      <c r="J3" s="1" t="s">
        <v>244</v>
      </c>
      <c r="K3" s="1" t="s">
        <v>467</v>
      </c>
      <c r="L3" s="1" t="s">
        <v>468</v>
      </c>
      <c r="M3" s="1" t="s">
        <v>3</v>
      </c>
    </row>
    <row r="4" spans="1:13" x14ac:dyDescent="0.25">
      <c r="A4" s="2" t="s">
        <v>469</v>
      </c>
      <c r="B4" s="2" t="s">
        <v>470</v>
      </c>
      <c r="C4" s="2" t="s">
        <v>471</v>
      </c>
      <c r="D4" s="2">
        <v>1000</v>
      </c>
      <c r="E4" s="2" t="s">
        <v>245</v>
      </c>
      <c r="F4" s="18">
        <v>25000</v>
      </c>
      <c r="G4" s="2">
        <v>3030</v>
      </c>
      <c r="H4" s="2" t="s">
        <v>345</v>
      </c>
      <c r="I4" s="18">
        <v>25000</v>
      </c>
      <c r="J4" s="2" t="s">
        <v>279</v>
      </c>
      <c r="K4" s="2" t="s">
        <v>472</v>
      </c>
      <c r="L4" s="3" t="s">
        <v>250</v>
      </c>
      <c r="M4" s="2" t="s">
        <v>473</v>
      </c>
    </row>
    <row r="5" spans="1:13" x14ac:dyDescent="0.25">
      <c r="A5" s="4" t="s">
        <v>474</v>
      </c>
      <c r="B5" s="4" t="s">
        <v>470</v>
      </c>
      <c r="C5" s="4" t="s">
        <v>475</v>
      </c>
      <c r="D5" s="4">
        <v>1410</v>
      </c>
      <c r="E5" s="4" t="s">
        <v>277</v>
      </c>
      <c r="F5" s="19">
        <v>97900</v>
      </c>
      <c r="G5" s="4">
        <v>2500</v>
      </c>
      <c r="H5" s="4" t="s">
        <v>318</v>
      </c>
      <c r="I5" s="19">
        <v>114000</v>
      </c>
      <c r="J5" s="4" t="s">
        <v>279</v>
      </c>
      <c r="K5" s="4" t="s">
        <v>476</v>
      </c>
      <c r="L5" s="5" t="s">
        <v>250</v>
      </c>
      <c r="M5" s="4" t="s">
        <v>477</v>
      </c>
    </row>
    <row r="6" spans="1:13" x14ac:dyDescent="0.25">
      <c r="A6" s="2" t="s">
        <v>478</v>
      </c>
      <c r="B6" s="2" t="s">
        <v>470</v>
      </c>
      <c r="C6" s="2" t="s">
        <v>479</v>
      </c>
      <c r="D6" s="2">
        <v>1420</v>
      </c>
      <c r="E6" s="2" t="s">
        <v>280</v>
      </c>
      <c r="F6" s="18">
        <v>16100</v>
      </c>
      <c r="G6" s="2">
        <v>1000</v>
      </c>
      <c r="H6" s="2" t="s">
        <v>245</v>
      </c>
      <c r="I6" s="18">
        <v>4500</v>
      </c>
      <c r="J6" s="2" t="s">
        <v>279</v>
      </c>
      <c r="K6" s="2" t="s">
        <v>476</v>
      </c>
      <c r="L6" s="3" t="s">
        <v>250</v>
      </c>
      <c r="M6" s="2" t="s">
        <v>480</v>
      </c>
    </row>
    <row r="7" spans="1:13" x14ac:dyDescent="0.25">
      <c r="A7" s="4" t="s">
        <v>481</v>
      </c>
      <c r="B7" s="4" t="s">
        <v>470</v>
      </c>
      <c r="C7" s="4" t="s">
        <v>482</v>
      </c>
      <c r="D7" s="4">
        <v>5010</v>
      </c>
      <c r="E7" s="4" t="s">
        <v>386</v>
      </c>
      <c r="F7" s="19">
        <v>4500</v>
      </c>
      <c r="G7" s="4">
        <v>1000</v>
      </c>
      <c r="H7" s="4" t="s">
        <v>245</v>
      </c>
      <c r="I7" s="19">
        <v>0</v>
      </c>
      <c r="J7" s="4" t="s">
        <v>279</v>
      </c>
      <c r="K7" s="4" t="s">
        <v>476</v>
      </c>
      <c r="L7" s="5" t="s">
        <v>250</v>
      </c>
      <c r="M7" s="4" t="s">
        <v>483</v>
      </c>
    </row>
    <row r="8" spans="1:13" x14ac:dyDescent="0.25">
      <c r="A8" s="2" t="s">
        <v>484</v>
      </c>
      <c r="B8" s="2" t="s">
        <v>485</v>
      </c>
      <c r="C8" s="2" t="s">
        <v>486</v>
      </c>
      <c r="D8" s="2">
        <v>5110</v>
      </c>
      <c r="E8" s="2" t="s">
        <v>390</v>
      </c>
      <c r="F8" s="18">
        <v>3500</v>
      </c>
      <c r="G8" s="2">
        <v>1000</v>
      </c>
      <c r="H8" s="2" t="s">
        <v>245</v>
      </c>
      <c r="I8" s="18">
        <v>3500</v>
      </c>
      <c r="J8" s="2" t="s">
        <v>279</v>
      </c>
      <c r="K8" s="2" t="s">
        <v>487</v>
      </c>
      <c r="L8" s="3" t="s">
        <v>250</v>
      </c>
      <c r="M8" s="2" t="s">
        <v>488</v>
      </c>
    </row>
    <row r="9" spans="1:13" x14ac:dyDescent="0.25">
      <c r="A9" s="4" t="s">
        <v>489</v>
      </c>
      <c r="B9" s="4" t="s">
        <v>490</v>
      </c>
      <c r="C9" s="4" t="s">
        <v>491</v>
      </c>
      <c r="D9" s="4">
        <v>5100</v>
      </c>
      <c r="E9" s="4" t="s">
        <v>388</v>
      </c>
      <c r="F9" s="19">
        <v>8000</v>
      </c>
      <c r="G9" s="4">
        <v>2010</v>
      </c>
      <c r="H9" s="4" t="s">
        <v>303</v>
      </c>
      <c r="I9" s="19">
        <v>8000</v>
      </c>
      <c r="J9" s="4" t="s">
        <v>279</v>
      </c>
      <c r="K9" s="4" t="s">
        <v>492</v>
      </c>
      <c r="L9" s="5" t="s">
        <v>250</v>
      </c>
      <c r="M9" s="4" t="s">
        <v>493</v>
      </c>
    </row>
    <row r="10" spans="1:13" x14ac:dyDescent="0.25">
      <c r="A10" s="2" t="s">
        <v>494</v>
      </c>
      <c r="B10" s="2" t="s">
        <v>495</v>
      </c>
      <c r="C10" s="2" t="s">
        <v>496</v>
      </c>
      <c r="D10" s="2">
        <v>6120</v>
      </c>
      <c r="E10" s="2" t="s">
        <v>497</v>
      </c>
      <c r="F10" s="18">
        <v>299</v>
      </c>
      <c r="G10" s="2">
        <v>2110</v>
      </c>
      <c r="H10" s="2" t="s">
        <v>309</v>
      </c>
      <c r="I10" s="18">
        <v>299</v>
      </c>
      <c r="J10" s="2" t="s">
        <v>279</v>
      </c>
      <c r="K10" s="2" t="s">
        <v>498</v>
      </c>
      <c r="L10" s="3" t="s">
        <v>250</v>
      </c>
      <c r="M10" s="2" t="s">
        <v>499</v>
      </c>
    </row>
    <row r="13" spans="1:13" x14ac:dyDescent="0.25">
      <c r="A13" s="20" t="s">
        <v>500</v>
      </c>
      <c r="E13" s="20" t="s">
        <v>501</v>
      </c>
      <c r="F13" s="21">
        <f>SUMIF(L4:L100,"Yes",F4:F100)</f>
        <v>155299</v>
      </c>
      <c r="H13" s="20" t="s">
        <v>502</v>
      </c>
      <c r="I13" s="21">
        <f>SUMIF(L4:L100,"Yes",I4:I100)</f>
        <v>155299</v>
      </c>
    </row>
    <row r="14" spans="1:13" x14ac:dyDescent="0.25">
      <c r="E14" s="20" t="s">
        <v>503</v>
      </c>
      <c r="F14" s="21">
        <f>F13-I13</f>
        <v>0</v>
      </c>
    </row>
  </sheetData>
  <mergeCells count="1">
    <mergeCell ref="A1:M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A2744"/>
  </sheetPr>
  <dimension ref="A1:I6"/>
  <sheetViews>
    <sheetView workbookViewId="0">
      <pane ySplit="5" topLeftCell="A6" activePane="bottomLeft" state="frozen"/>
      <selection pane="bottomLeft" sqref="A1:I1"/>
    </sheetView>
  </sheetViews>
  <sheetFormatPr defaultRowHeight="15" x14ac:dyDescent="0.25"/>
  <cols>
    <col min="1" max="1" width="10" customWidth="1"/>
    <col min="2" max="2" width="12" customWidth="1"/>
    <col min="3" max="3" width="14" customWidth="1"/>
    <col min="4" max="4" width="32" customWidth="1"/>
    <col min="5" max="5" width="35" customWidth="1"/>
    <col min="6" max="8" width="14" customWidth="1"/>
    <col min="9" max="9" width="12" customWidth="1"/>
  </cols>
  <sheetData>
    <row r="1" spans="1:9" ht="27.95" customHeight="1" x14ac:dyDescent="0.25">
      <c r="A1" s="84" t="s">
        <v>504</v>
      </c>
      <c r="B1" s="81"/>
      <c r="C1" s="81"/>
      <c r="D1" s="81"/>
      <c r="E1" s="81"/>
      <c r="F1" s="81"/>
      <c r="G1" s="81"/>
      <c r="H1" s="81"/>
      <c r="I1" s="81"/>
    </row>
    <row r="3" spans="1:9" x14ac:dyDescent="0.25">
      <c r="A3" s="85" t="s">
        <v>505</v>
      </c>
      <c r="B3" s="81"/>
      <c r="C3" s="22">
        <v>1000</v>
      </c>
    </row>
    <row r="4" spans="1:9" ht="6" customHeight="1" x14ac:dyDescent="0.25"/>
    <row r="5" spans="1:9" ht="25.5" x14ac:dyDescent="0.25">
      <c r="A5" s="1" t="s">
        <v>506</v>
      </c>
      <c r="B5" s="1" t="s">
        <v>460</v>
      </c>
      <c r="C5" s="1" t="s">
        <v>239</v>
      </c>
      <c r="D5" s="1" t="s">
        <v>240</v>
      </c>
      <c r="E5" s="1" t="s">
        <v>102</v>
      </c>
      <c r="F5" s="1" t="s">
        <v>507</v>
      </c>
      <c r="G5" s="1" t="s">
        <v>248</v>
      </c>
      <c r="H5" s="1" t="s">
        <v>283</v>
      </c>
      <c r="I5" s="1" t="s">
        <v>244</v>
      </c>
    </row>
    <row r="6" spans="1:9" x14ac:dyDescent="0.25">
      <c r="A6" s="2" t="s">
        <v>508</v>
      </c>
      <c r="B6" s="2" t="s">
        <v>470</v>
      </c>
      <c r="C6" s="2">
        <v>1000</v>
      </c>
      <c r="D6" s="2" t="s">
        <v>245</v>
      </c>
      <c r="E6" s="2" t="s">
        <v>509</v>
      </c>
      <c r="F6" s="2" t="s">
        <v>469</v>
      </c>
      <c r="G6" s="23">
        <v>25000</v>
      </c>
      <c r="H6" s="23">
        <v>0</v>
      </c>
      <c r="I6" s="2" t="s">
        <v>279</v>
      </c>
    </row>
  </sheetData>
  <mergeCells count="2">
    <mergeCell ref="A1:I1"/>
    <mergeCell ref="A3:B3"/>
  </mergeCells>
  <dataValidations count="1">
    <dataValidation type="list" allowBlank="1" sqref="C3">
      <formula1>"1000,1010,1020,1030,1100,1110,1120,1300,1400,1410,1420,2000,2010,2100,2500,3000,3010,3030,4000,4020,5010,5100,5110,6100,6120,6300,6310,6800,6810"</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A2744"/>
  </sheetPr>
  <dimension ref="A1:E17"/>
  <sheetViews>
    <sheetView workbookViewId="0">
      <pane ySplit="3" topLeftCell="A4" activePane="bottomLeft" state="frozen"/>
      <selection pane="bottomLeft" sqref="A1:E1"/>
    </sheetView>
  </sheetViews>
  <sheetFormatPr defaultRowHeight="15" x14ac:dyDescent="0.25"/>
  <cols>
    <col min="1" max="1" width="16" customWidth="1"/>
    <col min="2" max="2" width="42" customWidth="1"/>
    <col min="3" max="5" width="16" customWidth="1"/>
  </cols>
  <sheetData>
    <row r="1" spans="1:5" ht="27.95" customHeight="1" x14ac:dyDescent="0.25">
      <c r="A1" s="84" t="s">
        <v>510</v>
      </c>
      <c r="B1" s="81"/>
      <c r="C1" s="81"/>
      <c r="D1" s="81"/>
      <c r="E1" s="81"/>
    </row>
    <row r="2" spans="1:5" ht="6" customHeight="1" x14ac:dyDescent="0.25"/>
    <row r="3" spans="1:5" ht="25.5" x14ac:dyDescent="0.25">
      <c r="A3" s="1" t="s">
        <v>239</v>
      </c>
      <c r="B3" s="1" t="s">
        <v>240</v>
      </c>
      <c r="C3" s="1" t="s">
        <v>241</v>
      </c>
      <c r="D3" s="1" t="s">
        <v>248</v>
      </c>
      <c r="E3" s="1" t="s">
        <v>283</v>
      </c>
    </row>
    <row r="4" spans="1:5" x14ac:dyDescent="0.25">
      <c r="A4" s="2">
        <v>1000</v>
      </c>
      <c r="B4" s="2" t="s">
        <v>245</v>
      </c>
      <c r="C4" s="2" t="s">
        <v>246</v>
      </c>
      <c r="D4" s="23">
        <f>SUMIF('11_JOURNAL_ENTRIES'!D:D,A4,'11_JOURNAL_ENTRIES'!F:F)</f>
        <v>25000</v>
      </c>
      <c r="E4" s="23">
        <f>SUMIF('11_JOURNAL_ENTRIES'!H:H,A4,'11_JOURNAL_ENTRIES'!I:I)</f>
        <v>0</v>
      </c>
    </row>
    <row r="5" spans="1:5" x14ac:dyDescent="0.25">
      <c r="A5" s="4">
        <v>1410</v>
      </c>
      <c r="B5" s="4" t="s">
        <v>277</v>
      </c>
      <c r="C5" s="4" t="s">
        <v>246</v>
      </c>
      <c r="D5" s="24">
        <f>SUMIF('11_JOURNAL_ENTRIES'!D:D,A5,'11_JOURNAL_ENTRIES'!F:F)</f>
        <v>97900</v>
      </c>
      <c r="E5" s="24">
        <f>SUMIF('11_JOURNAL_ENTRIES'!H:H,A5,'11_JOURNAL_ENTRIES'!I:I)</f>
        <v>0</v>
      </c>
    </row>
    <row r="6" spans="1:5" x14ac:dyDescent="0.25">
      <c r="A6" s="2">
        <v>1420</v>
      </c>
      <c r="B6" s="2" t="s">
        <v>280</v>
      </c>
      <c r="C6" s="2" t="s">
        <v>246</v>
      </c>
      <c r="D6" s="23">
        <f>SUMIF('11_JOURNAL_ENTRIES'!D:D,A6,'11_JOURNAL_ENTRIES'!F:F)</f>
        <v>16100</v>
      </c>
      <c r="E6" s="23">
        <f>SUMIF('11_JOURNAL_ENTRIES'!H:H,A6,'11_JOURNAL_ENTRIES'!I:I)</f>
        <v>0</v>
      </c>
    </row>
    <row r="7" spans="1:5" x14ac:dyDescent="0.25">
      <c r="A7" s="4">
        <v>2010</v>
      </c>
      <c r="B7" s="4" t="s">
        <v>303</v>
      </c>
      <c r="C7" s="4" t="s">
        <v>300</v>
      </c>
      <c r="D7" s="24">
        <f>SUMIF('11_JOURNAL_ENTRIES'!D:D,A7,'11_JOURNAL_ENTRIES'!F:F)</f>
        <v>0</v>
      </c>
      <c r="E7" s="24">
        <f>SUMIF('11_JOURNAL_ENTRIES'!H:H,A7,'11_JOURNAL_ENTRIES'!I:I)</f>
        <v>0</v>
      </c>
    </row>
    <row r="8" spans="1:5" x14ac:dyDescent="0.25">
      <c r="A8" s="2">
        <v>2110</v>
      </c>
      <c r="B8" s="2" t="s">
        <v>309</v>
      </c>
      <c r="C8" s="2" t="s">
        <v>300</v>
      </c>
      <c r="D8" s="23">
        <f>SUMIF('11_JOURNAL_ENTRIES'!D:D,A8,'11_JOURNAL_ENTRIES'!F:F)</f>
        <v>0</v>
      </c>
      <c r="E8" s="23">
        <f>SUMIF('11_JOURNAL_ENTRIES'!H:H,A8,'11_JOURNAL_ENTRIES'!I:I)</f>
        <v>0</v>
      </c>
    </row>
    <row r="9" spans="1:5" x14ac:dyDescent="0.25">
      <c r="A9" s="4">
        <v>2500</v>
      </c>
      <c r="B9" s="4" t="s">
        <v>318</v>
      </c>
      <c r="C9" s="4" t="s">
        <v>300</v>
      </c>
      <c r="D9" s="24">
        <f>SUMIF('11_JOURNAL_ENTRIES'!D:D,A9,'11_JOURNAL_ENTRIES'!F:F)</f>
        <v>0</v>
      </c>
      <c r="E9" s="24">
        <f>SUMIF('11_JOURNAL_ENTRIES'!H:H,A9,'11_JOURNAL_ENTRIES'!I:I)</f>
        <v>0</v>
      </c>
    </row>
    <row r="10" spans="1:5" x14ac:dyDescent="0.25">
      <c r="A10" s="2">
        <v>3030</v>
      </c>
      <c r="B10" s="2" t="s">
        <v>345</v>
      </c>
      <c r="C10" s="2" t="s">
        <v>338</v>
      </c>
      <c r="D10" s="23">
        <f>SUMIF('11_JOURNAL_ENTRIES'!D:D,A10,'11_JOURNAL_ENTRIES'!F:F)</f>
        <v>0</v>
      </c>
      <c r="E10" s="23">
        <f>SUMIF('11_JOURNAL_ENTRIES'!H:H,A10,'11_JOURNAL_ENTRIES'!I:I)</f>
        <v>0</v>
      </c>
    </row>
    <row r="11" spans="1:5" x14ac:dyDescent="0.25">
      <c r="A11" s="4">
        <v>5010</v>
      </c>
      <c r="B11" s="4" t="s">
        <v>386</v>
      </c>
      <c r="C11" s="4" t="s">
        <v>383</v>
      </c>
      <c r="D11" s="24">
        <f>SUMIF('11_JOURNAL_ENTRIES'!D:D,A11,'11_JOURNAL_ENTRIES'!F:F)</f>
        <v>4500</v>
      </c>
      <c r="E11" s="24">
        <f>SUMIF('11_JOURNAL_ENTRIES'!H:H,A11,'11_JOURNAL_ENTRIES'!I:I)</f>
        <v>0</v>
      </c>
    </row>
    <row r="12" spans="1:5" x14ac:dyDescent="0.25">
      <c r="A12" s="2">
        <v>5100</v>
      </c>
      <c r="B12" s="2" t="s">
        <v>388</v>
      </c>
      <c r="C12" s="2" t="s">
        <v>383</v>
      </c>
      <c r="D12" s="23">
        <f>SUMIF('11_JOURNAL_ENTRIES'!D:D,A12,'11_JOURNAL_ENTRIES'!F:F)</f>
        <v>8000</v>
      </c>
      <c r="E12" s="23">
        <f>SUMIF('11_JOURNAL_ENTRIES'!H:H,A12,'11_JOURNAL_ENTRIES'!I:I)</f>
        <v>0</v>
      </c>
    </row>
    <row r="13" spans="1:5" x14ac:dyDescent="0.25">
      <c r="A13" s="4">
        <v>5110</v>
      </c>
      <c r="B13" s="4" t="s">
        <v>390</v>
      </c>
      <c r="C13" s="4" t="s">
        <v>383</v>
      </c>
      <c r="D13" s="24">
        <f>SUMIF('11_JOURNAL_ENTRIES'!D:D,A13,'11_JOURNAL_ENTRIES'!F:F)</f>
        <v>3500</v>
      </c>
      <c r="E13" s="24">
        <f>SUMIF('11_JOURNAL_ENTRIES'!H:H,A13,'11_JOURNAL_ENTRIES'!I:I)</f>
        <v>0</v>
      </c>
    </row>
    <row r="14" spans="1:5" x14ac:dyDescent="0.25">
      <c r="A14" s="2">
        <v>6120</v>
      </c>
      <c r="B14" s="2" t="s">
        <v>497</v>
      </c>
      <c r="C14" s="2" t="s">
        <v>410</v>
      </c>
      <c r="D14" s="23">
        <f>SUMIF('11_JOURNAL_ENTRIES'!D:D,A14,'11_JOURNAL_ENTRIES'!F:F)</f>
        <v>299</v>
      </c>
      <c r="E14" s="23">
        <f>SUMIF('11_JOURNAL_ENTRIES'!H:H,A14,'11_JOURNAL_ENTRIES'!I:I)</f>
        <v>0</v>
      </c>
    </row>
    <row r="16" spans="1:5" x14ac:dyDescent="0.25">
      <c r="A16" s="86" t="s">
        <v>511</v>
      </c>
      <c r="B16" s="81"/>
      <c r="C16" s="81"/>
      <c r="D16" s="26">
        <f>SUM(D4:D15)</f>
        <v>155299</v>
      </c>
      <c r="E16" s="26">
        <f>SUM(E4:E15)</f>
        <v>0</v>
      </c>
    </row>
    <row r="17" spans="1:4" x14ac:dyDescent="0.25">
      <c r="A17" s="85" t="s">
        <v>512</v>
      </c>
      <c r="B17" s="81"/>
      <c r="C17" s="81"/>
      <c r="D17" s="21">
        <f>D16-E16</f>
        <v>155299</v>
      </c>
    </row>
  </sheetData>
  <mergeCells count="3">
    <mergeCell ref="A17:C17"/>
    <mergeCell ref="A1:E1"/>
    <mergeCell ref="A16:C16"/>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A2744"/>
  </sheetPr>
  <dimension ref="A1:C33"/>
  <sheetViews>
    <sheetView workbookViewId="0">
      <pane ySplit="2" topLeftCell="A3" activePane="bottomLeft" state="frozen"/>
      <selection pane="bottomLeft" sqref="A1:C1"/>
    </sheetView>
  </sheetViews>
  <sheetFormatPr defaultRowHeight="15" x14ac:dyDescent="0.25"/>
  <cols>
    <col min="1" max="1" width="35" customWidth="1"/>
    <col min="2" max="2" width="25" customWidth="1"/>
    <col min="3" max="3" width="18" customWidth="1"/>
  </cols>
  <sheetData>
    <row r="1" spans="1:3" ht="27.95" customHeight="1" x14ac:dyDescent="0.25">
      <c r="A1" s="84" t="s">
        <v>513</v>
      </c>
      <c r="B1" s="81"/>
      <c r="C1" s="81"/>
    </row>
    <row r="3" spans="1:3" x14ac:dyDescent="0.25">
      <c r="A3" s="27" t="s">
        <v>514</v>
      </c>
    </row>
    <row r="4" spans="1:3" x14ac:dyDescent="0.25">
      <c r="A4" s="87" t="s">
        <v>515</v>
      </c>
      <c r="B4" s="81"/>
      <c r="C4" s="81"/>
    </row>
    <row r="5" spans="1:3" x14ac:dyDescent="0.25">
      <c r="A5" s="2" t="s">
        <v>516</v>
      </c>
      <c r="B5" s="28"/>
      <c r="C5" s="18">
        <v>17200</v>
      </c>
    </row>
    <row r="6" spans="1:3" x14ac:dyDescent="0.25">
      <c r="A6" s="4" t="s">
        <v>517</v>
      </c>
      <c r="B6" s="29"/>
      <c r="C6" s="19">
        <v>0</v>
      </c>
    </row>
    <row r="7" spans="1:3" x14ac:dyDescent="0.25">
      <c r="A7" s="2" t="s">
        <v>518</v>
      </c>
      <c r="B7" s="28"/>
      <c r="C7" s="18">
        <v>0</v>
      </c>
    </row>
    <row r="8" spans="1:3" x14ac:dyDescent="0.25">
      <c r="B8" s="20" t="s">
        <v>519</v>
      </c>
      <c r="C8" s="30">
        <f>SUM(C5:C7)</f>
        <v>17200</v>
      </c>
    </row>
    <row r="9" spans="1:3" x14ac:dyDescent="0.25">
      <c r="A9" s="87" t="s">
        <v>520</v>
      </c>
      <c r="B9" s="81"/>
      <c r="C9" s="81"/>
    </row>
    <row r="10" spans="1:3" x14ac:dyDescent="0.25">
      <c r="A10" s="4" t="s">
        <v>521</v>
      </c>
      <c r="B10" s="29"/>
      <c r="C10" s="19">
        <v>97900</v>
      </c>
    </row>
    <row r="11" spans="1:3" x14ac:dyDescent="0.25">
      <c r="A11" s="2" t="s">
        <v>522</v>
      </c>
      <c r="B11" s="28"/>
      <c r="C11" s="18">
        <v>16100</v>
      </c>
    </row>
    <row r="12" spans="1:3" x14ac:dyDescent="0.25">
      <c r="A12" s="4" t="s">
        <v>523</v>
      </c>
      <c r="B12" s="29"/>
      <c r="C12" s="19">
        <v>0</v>
      </c>
    </row>
    <row r="13" spans="1:3" x14ac:dyDescent="0.25">
      <c r="B13" s="20" t="s">
        <v>524</v>
      </c>
      <c r="C13" s="30">
        <f>SUM(C10:C12)</f>
        <v>114000</v>
      </c>
    </row>
    <row r="14" spans="1:3" x14ac:dyDescent="0.25">
      <c r="A14" s="31" t="s">
        <v>525</v>
      </c>
      <c r="C14" s="32">
        <f>C8+C13</f>
        <v>131200</v>
      </c>
    </row>
    <row r="16" spans="1:3" x14ac:dyDescent="0.25">
      <c r="A16" s="27" t="s">
        <v>526</v>
      </c>
    </row>
    <row r="17" spans="1:3" x14ac:dyDescent="0.25">
      <c r="A17" s="87" t="s">
        <v>527</v>
      </c>
      <c r="B17" s="81"/>
      <c r="C17" s="81"/>
    </row>
    <row r="18" spans="1:3" x14ac:dyDescent="0.25">
      <c r="A18" s="4" t="s">
        <v>528</v>
      </c>
      <c r="B18" s="29"/>
      <c r="C18" s="19">
        <v>8000</v>
      </c>
    </row>
    <row r="19" spans="1:3" x14ac:dyDescent="0.25">
      <c r="A19" s="2" t="s">
        <v>529</v>
      </c>
      <c r="B19" s="28"/>
      <c r="C19" s="18">
        <v>299</v>
      </c>
    </row>
    <row r="20" spans="1:3" x14ac:dyDescent="0.25">
      <c r="A20" s="4" t="s">
        <v>530</v>
      </c>
      <c r="B20" s="29"/>
      <c r="C20" s="19">
        <v>0</v>
      </c>
    </row>
    <row r="21" spans="1:3" x14ac:dyDescent="0.25">
      <c r="B21" s="20" t="s">
        <v>531</v>
      </c>
      <c r="C21" s="30">
        <f>SUM(C18:C20)</f>
        <v>8299</v>
      </c>
    </row>
    <row r="22" spans="1:3" x14ac:dyDescent="0.25">
      <c r="A22" s="87" t="s">
        <v>532</v>
      </c>
      <c r="B22" s="81"/>
      <c r="C22" s="81"/>
    </row>
    <row r="23" spans="1:3" x14ac:dyDescent="0.25">
      <c r="A23" s="2" t="s">
        <v>533</v>
      </c>
      <c r="B23" s="28"/>
      <c r="C23" s="18">
        <v>114000</v>
      </c>
    </row>
    <row r="24" spans="1:3" x14ac:dyDescent="0.25">
      <c r="B24" s="20" t="s">
        <v>534</v>
      </c>
      <c r="C24" s="30">
        <f>SUM(C23:C23)</f>
        <v>114000</v>
      </c>
    </row>
    <row r="25" spans="1:3" x14ac:dyDescent="0.25">
      <c r="A25" s="20" t="s">
        <v>535</v>
      </c>
      <c r="C25" s="33">
        <f>C22+C26</f>
        <v>0</v>
      </c>
    </row>
    <row r="26" spans="1:3" x14ac:dyDescent="0.25">
      <c r="A26" s="87" t="s">
        <v>536</v>
      </c>
      <c r="B26" s="81"/>
      <c r="C26" s="81"/>
    </row>
    <row r="27" spans="1:3" x14ac:dyDescent="0.25">
      <c r="A27" s="2" t="s">
        <v>537</v>
      </c>
      <c r="B27" s="28"/>
      <c r="C27" s="18">
        <v>25000</v>
      </c>
    </row>
    <row r="28" spans="1:3" x14ac:dyDescent="0.25">
      <c r="A28" s="4" t="s">
        <v>538</v>
      </c>
      <c r="B28" s="29"/>
      <c r="C28" s="19">
        <v>0</v>
      </c>
    </row>
    <row r="29" spans="1:3" x14ac:dyDescent="0.25">
      <c r="A29" s="2" t="s">
        <v>539</v>
      </c>
      <c r="B29" s="28"/>
      <c r="C29" s="18">
        <v>-8799</v>
      </c>
    </row>
    <row r="30" spans="1:3" x14ac:dyDescent="0.25">
      <c r="B30" s="20" t="s">
        <v>540</v>
      </c>
      <c r="C30" s="30">
        <f>SUM(C27:C29)</f>
        <v>16201</v>
      </c>
    </row>
    <row r="31" spans="1:3" x14ac:dyDescent="0.25">
      <c r="A31" s="31" t="s">
        <v>541</v>
      </c>
      <c r="C31" s="34">
        <f>C25+C29</f>
        <v>-8799</v>
      </c>
    </row>
    <row r="33" spans="1:3" x14ac:dyDescent="0.25">
      <c r="A33" s="20" t="s">
        <v>542</v>
      </c>
      <c r="C33" s="33">
        <f>C14-C31</f>
        <v>139999</v>
      </c>
    </row>
  </sheetData>
  <mergeCells count="6">
    <mergeCell ref="A26:C26"/>
    <mergeCell ref="A1:C1"/>
    <mergeCell ref="A22:C22"/>
    <mergeCell ref="A17:C17"/>
    <mergeCell ref="A9:C9"/>
    <mergeCell ref="A4:C4"/>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A2744"/>
  </sheetPr>
  <dimension ref="A1:C35"/>
  <sheetViews>
    <sheetView workbookViewId="0">
      <pane ySplit="2" topLeftCell="A3" activePane="bottomLeft" state="frozen"/>
      <selection pane="bottomLeft" sqref="A1:C1"/>
    </sheetView>
  </sheetViews>
  <sheetFormatPr defaultRowHeight="15" x14ac:dyDescent="0.25"/>
  <cols>
    <col min="1" max="1" width="35" customWidth="1"/>
    <col min="2" max="2" width="30" customWidth="1"/>
    <col min="3" max="3" width="18" customWidth="1"/>
  </cols>
  <sheetData>
    <row r="1" spans="1:3" ht="27.95" customHeight="1" x14ac:dyDescent="0.25">
      <c r="A1" s="84" t="s">
        <v>543</v>
      </c>
      <c r="B1" s="81"/>
      <c r="C1" s="81"/>
    </row>
    <row r="3" spans="1:3" x14ac:dyDescent="0.25">
      <c r="A3" s="87" t="s">
        <v>544</v>
      </c>
      <c r="B3" s="81"/>
      <c r="C3" s="81"/>
    </row>
    <row r="4" spans="1:3" x14ac:dyDescent="0.25">
      <c r="A4" s="4" t="s">
        <v>545</v>
      </c>
      <c r="B4" s="29"/>
      <c r="C4" s="35">
        <v>0</v>
      </c>
    </row>
    <row r="5" spans="1:3" x14ac:dyDescent="0.25">
      <c r="A5" s="2" t="s">
        <v>546</v>
      </c>
      <c r="B5" s="28"/>
      <c r="C5" s="36">
        <v>0</v>
      </c>
    </row>
    <row r="6" spans="1:3" x14ac:dyDescent="0.25">
      <c r="A6" s="4" t="s">
        <v>547</v>
      </c>
      <c r="B6" s="29"/>
      <c r="C6" s="35">
        <v>0</v>
      </c>
    </row>
    <row r="7" spans="1:3" x14ac:dyDescent="0.25">
      <c r="A7" s="2" t="s">
        <v>548</v>
      </c>
      <c r="B7" s="28"/>
      <c r="C7" s="36">
        <v>0</v>
      </c>
    </row>
    <row r="8" spans="1:3" x14ac:dyDescent="0.25">
      <c r="B8" s="20" t="s">
        <v>549</v>
      </c>
      <c r="C8" s="33">
        <f>SUM(C4:C7)</f>
        <v>0</v>
      </c>
    </row>
    <row r="10" spans="1:3" x14ac:dyDescent="0.25">
      <c r="A10" s="87" t="s">
        <v>550</v>
      </c>
      <c r="B10" s="81"/>
      <c r="C10" s="81"/>
    </row>
    <row r="11" spans="1:3" x14ac:dyDescent="0.25">
      <c r="A11" s="2" t="s">
        <v>551</v>
      </c>
      <c r="B11" s="28"/>
      <c r="C11" s="36">
        <v>4500</v>
      </c>
    </row>
    <row r="12" spans="1:3" x14ac:dyDescent="0.25">
      <c r="A12" s="4" t="s">
        <v>552</v>
      </c>
      <c r="B12" s="29"/>
      <c r="C12" s="35">
        <v>8000</v>
      </c>
    </row>
    <row r="13" spans="1:3" x14ac:dyDescent="0.25">
      <c r="A13" s="2" t="s">
        <v>553</v>
      </c>
      <c r="B13" s="28"/>
      <c r="C13" s="36">
        <v>3500</v>
      </c>
    </row>
    <row r="14" spans="1:3" x14ac:dyDescent="0.25">
      <c r="A14" s="4" t="s">
        <v>554</v>
      </c>
      <c r="B14" s="29"/>
      <c r="C14" s="35">
        <v>1080</v>
      </c>
    </row>
    <row r="15" spans="1:3" x14ac:dyDescent="0.25">
      <c r="A15" s="2" t="s">
        <v>555</v>
      </c>
      <c r="B15" s="28"/>
      <c r="C15" s="36">
        <v>0</v>
      </c>
    </row>
    <row r="16" spans="1:3" x14ac:dyDescent="0.25">
      <c r="B16" s="20" t="s">
        <v>556</v>
      </c>
      <c r="C16" s="33">
        <f>SUM(C10:C15)</f>
        <v>17080</v>
      </c>
    </row>
    <row r="17" spans="1:3" x14ac:dyDescent="0.25">
      <c r="B17" s="31" t="s">
        <v>557</v>
      </c>
      <c r="C17" s="34">
        <f>C8-C16</f>
        <v>-17080</v>
      </c>
    </row>
    <row r="18" spans="1:3" x14ac:dyDescent="0.25">
      <c r="B18" s="37" t="s">
        <v>558</v>
      </c>
      <c r="C18" s="38">
        <f>IF(C8=0,0,C17/C8)</f>
        <v>0</v>
      </c>
    </row>
    <row r="20" spans="1:3" x14ac:dyDescent="0.25">
      <c r="A20" s="87" t="s">
        <v>559</v>
      </c>
      <c r="B20" s="81"/>
      <c r="C20" s="81"/>
    </row>
    <row r="21" spans="1:3" x14ac:dyDescent="0.25">
      <c r="A21" s="2" t="s">
        <v>560</v>
      </c>
      <c r="B21" s="28"/>
      <c r="C21" s="36">
        <v>299</v>
      </c>
    </row>
    <row r="22" spans="1:3" x14ac:dyDescent="0.25">
      <c r="A22" s="4" t="s">
        <v>561</v>
      </c>
      <c r="B22" s="29"/>
      <c r="C22" s="35">
        <v>0</v>
      </c>
    </row>
    <row r="23" spans="1:3" x14ac:dyDescent="0.25">
      <c r="A23" s="2" t="s">
        <v>562</v>
      </c>
      <c r="B23" s="28"/>
      <c r="C23" s="36">
        <v>0</v>
      </c>
    </row>
    <row r="24" spans="1:3" x14ac:dyDescent="0.25">
      <c r="A24" s="4" t="s">
        <v>563</v>
      </c>
      <c r="B24" s="29"/>
      <c r="C24" s="35">
        <v>0</v>
      </c>
    </row>
    <row r="25" spans="1:3" x14ac:dyDescent="0.25">
      <c r="A25" s="2" t="s">
        <v>564</v>
      </c>
      <c r="B25" s="28"/>
      <c r="C25" s="36">
        <v>0</v>
      </c>
    </row>
    <row r="26" spans="1:3" x14ac:dyDescent="0.25">
      <c r="A26" s="4" t="s">
        <v>565</v>
      </c>
      <c r="B26" s="29"/>
      <c r="C26" s="35">
        <v>0</v>
      </c>
    </row>
    <row r="27" spans="1:3" x14ac:dyDescent="0.25">
      <c r="A27" s="2" t="s">
        <v>566</v>
      </c>
      <c r="B27" s="28"/>
      <c r="C27" s="36">
        <v>0</v>
      </c>
    </row>
    <row r="28" spans="1:3" x14ac:dyDescent="0.25">
      <c r="B28" s="20" t="s">
        <v>567</v>
      </c>
      <c r="C28" s="33">
        <f>SUM(C20:C27)</f>
        <v>299</v>
      </c>
    </row>
    <row r="29" spans="1:3" x14ac:dyDescent="0.25">
      <c r="B29" s="31" t="s">
        <v>568</v>
      </c>
      <c r="C29" s="34">
        <f>C17-C28</f>
        <v>-17379</v>
      </c>
    </row>
    <row r="31" spans="1:3" x14ac:dyDescent="0.25">
      <c r="A31" s="87" t="s">
        <v>569</v>
      </c>
      <c r="B31" s="81"/>
      <c r="C31" s="81"/>
    </row>
    <row r="32" spans="1:3" x14ac:dyDescent="0.25">
      <c r="A32" s="4" t="s">
        <v>570</v>
      </c>
      <c r="B32" s="29"/>
      <c r="C32" s="35">
        <v>0</v>
      </c>
    </row>
    <row r="33" spans="1:3" x14ac:dyDescent="0.25">
      <c r="A33" s="2" t="s">
        <v>571</v>
      </c>
      <c r="B33" s="28"/>
      <c r="C33" s="36">
        <v>0</v>
      </c>
    </row>
    <row r="35" spans="1:3" ht="15.75" x14ac:dyDescent="0.25">
      <c r="B35" s="39" t="s">
        <v>572</v>
      </c>
      <c r="C35" s="40">
        <f>C29-SUM(C31:C33)</f>
        <v>-17379</v>
      </c>
    </row>
  </sheetData>
  <mergeCells count="5">
    <mergeCell ref="A10:C10"/>
    <mergeCell ref="A1:C1"/>
    <mergeCell ref="A31:C31"/>
    <mergeCell ref="A3:C3"/>
    <mergeCell ref="A20:C20"/>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A2744"/>
  </sheetPr>
  <dimension ref="A1:C26"/>
  <sheetViews>
    <sheetView workbookViewId="0">
      <pane ySplit="2" topLeftCell="A3" activePane="bottomLeft" state="frozen"/>
      <selection pane="bottomLeft" sqref="A1:C1"/>
    </sheetView>
  </sheetViews>
  <sheetFormatPr defaultRowHeight="15" x14ac:dyDescent="0.25"/>
  <cols>
    <col min="1" max="1" width="38" customWidth="1"/>
    <col min="2" max="2" width="28" customWidth="1"/>
    <col min="3" max="3" width="18" customWidth="1"/>
  </cols>
  <sheetData>
    <row r="1" spans="1:3" ht="27.95" customHeight="1" x14ac:dyDescent="0.25">
      <c r="A1" s="84" t="s">
        <v>573</v>
      </c>
      <c r="B1" s="81"/>
      <c r="C1" s="81"/>
    </row>
    <row r="3" spans="1:3" x14ac:dyDescent="0.25">
      <c r="A3" s="87" t="s">
        <v>574</v>
      </c>
      <c r="B3" s="81"/>
      <c r="C3" s="81"/>
    </row>
    <row r="4" spans="1:3" x14ac:dyDescent="0.25">
      <c r="A4" s="4" t="s">
        <v>575</v>
      </c>
      <c r="B4" s="29"/>
      <c r="C4" s="19">
        <v>-16379</v>
      </c>
    </row>
    <row r="5" spans="1:3" x14ac:dyDescent="0.25">
      <c r="A5" s="2" t="s">
        <v>576</v>
      </c>
      <c r="B5" s="28"/>
      <c r="C5" s="18">
        <v>0</v>
      </c>
    </row>
    <row r="6" spans="1:3" x14ac:dyDescent="0.25">
      <c r="A6" s="4" t="s">
        <v>577</v>
      </c>
      <c r="B6" s="29"/>
      <c r="C6" s="19">
        <v>0</v>
      </c>
    </row>
    <row r="7" spans="1:3" x14ac:dyDescent="0.25">
      <c r="A7" s="2" t="s">
        <v>578</v>
      </c>
      <c r="B7" s="28"/>
      <c r="C7" s="18">
        <v>8299</v>
      </c>
    </row>
    <row r="8" spans="1:3" x14ac:dyDescent="0.25">
      <c r="B8" s="20" t="s">
        <v>579</v>
      </c>
      <c r="C8" s="33">
        <f>SUM(C4:C7)</f>
        <v>-8080</v>
      </c>
    </row>
    <row r="10" spans="1:3" x14ac:dyDescent="0.25">
      <c r="A10" s="87" t="s">
        <v>580</v>
      </c>
      <c r="B10" s="81"/>
      <c r="C10" s="81"/>
    </row>
    <row r="11" spans="1:3" x14ac:dyDescent="0.25">
      <c r="A11" s="2" t="s">
        <v>581</v>
      </c>
      <c r="B11" s="28"/>
      <c r="C11" s="18">
        <v>-114000</v>
      </c>
    </row>
    <row r="12" spans="1:3" x14ac:dyDescent="0.25">
      <c r="A12" s="4" t="s">
        <v>582</v>
      </c>
      <c r="B12" s="29"/>
      <c r="C12" s="19">
        <v>-11500</v>
      </c>
    </row>
    <row r="13" spans="1:3" x14ac:dyDescent="0.25">
      <c r="A13" s="2" t="s">
        <v>583</v>
      </c>
      <c r="B13" s="28"/>
      <c r="C13" s="18">
        <v>0</v>
      </c>
    </row>
    <row r="14" spans="1:3" x14ac:dyDescent="0.25">
      <c r="B14" s="20" t="s">
        <v>584</v>
      </c>
      <c r="C14" s="33">
        <f>SUM(C11:C13)</f>
        <v>-125500</v>
      </c>
    </row>
    <row r="16" spans="1:3" x14ac:dyDescent="0.25">
      <c r="A16" s="87" t="s">
        <v>585</v>
      </c>
      <c r="B16" s="81"/>
      <c r="C16" s="81"/>
    </row>
    <row r="17" spans="1:3" x14ac:dyDescent="0.25">
      <c r="A17" s="2" t="s">
        <v>586</v>
      </c>
      <c r="B17" s="28"/>
      <c r="C17" s="18">
        <v>114000</v>
      </c>
    </row>
    <row r="18" spans="1:3" x14ac:dyDescent="0.25">
      <c r="A18" s="4" t="s">
        <v>587</v>
      </c>
      <c r="B18" s="29"/>
      <c r="C18" s="19">
        <v>0</v>
      </c>
    </row>
    <row r="19" spans="1:3" x14ac:dyDescent="0.25">
      <c r="A19" s="2" t="s">
        <v>537</v>
      </c>
      <c r="B19" s="28"/>
      <c r="C19" s="18">
        <v>25000</v>
      </c>
    </row>
    <row r="20" spans="1:3" x14ac:dyDescent="0.25">
      <c r="A20" s="4" t="s">
        <v>588</v>
      </c>
      <c r="B20" s="29"/>
      <c r="C20" s="19">
        <v>0</v>
      </c>
    </row>
    <row r="21" spans="1:3" x14ac:dyDescent="0.25">
      <c r="B21" s="20" t="s">
        <v>589</v>
      </c>
      <c r="C21" s="33">
        <f>SUM(C17:C20)</f>
        <v>139000</v>
      </c>
    </row>
    <row r="24" spans="1:3" x14ac:dyDescent="0.25">
      <c r="A24" s="31" t="s">
        <v>590</v>
      </c>
      <c r="C24" s="34">
        <f>C8+C14+C21</f>
        <v>5420</v>
      </c>
    </row>
    <row r="25" spans="1:3" x14ac:dyDescent="0.25">
      <c r="A25" s="37" t="s">
        <v>591</v>
      </c>
      <c r="C25" s="41">
        <v>0</v>
      </c>
    </row>
    <row r="26" spans="1:3" x14ac:dyDescent="0.25">
      <c r="A26" s="31" t="s">
        <v>592</v>
      </c>
      <c r="C26" s="32">
        <f>C24+C25</f>
        <v>5420</v>
      </c>
    </row>
  </sheetData>
  <mergeCells count="4">
    <mergeCell ref="A1:C1"/>
    <mergeCell ref="A3:C3"/>
    <mergeCell ref="A16:C16"/>
    <mergeCell ref="A10:C10"/>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A2744"/>
  </sheetPr>
  <dimension ref="A1:P17"/>
  <sheetViews>
    <sheetView workbookViewId="0">
      <pane xSplit="3" ySplit="3" topLeftCell="D4" activePane="bottomRight" state="frozen"/>
      <selection pane="topRight"/>
      <selection pane="bottomLeft"/>
      <selection pane="bottomRight" sqref="A1:P1"/>
    </sheetView>
  </sheetViews>
  <sheetFormatPr defaultRowHeight="15" x14ac:dyDescent="0.25"/>
  <cols>
    <col min="1" max="1" width="14" customWidth="1"/>
    <col min="2" max="2" width="38" customWidth="1"/>
    <col min="3" max="3" width="12" customWidth="1"/>
    <col min="4" max="15" width="10" customWidth="1"/>
    <col min="16" max="16" width="14" customWidth="1"/>
  </cols>
  <sheetData>
    <row r="1" spans="1:16" ht="27.95" customHeight="1" x14ac:dyDescent="0.25">
      <c r="A1" s="84" t="s">
        <v>593</v>
      </c>
      <c r="B1" s="81"/>
      <c r="C1" s="81"/>
      <c r="D1" s="81"/>
      <c r="E1" s="81"/>
      <c r="F1" s="81"/>
      <c r="G1" s="81"/>
      <c r="H1" s="81"/>
      <c r="I1" s="81"/>
      <c r="J1" s="81"/>
      <c r="K1" s="81"/>
      <c r="L1" s="81"/>
      <c r="M1" s="81"/>
      <c r="N1" s="81"/>
      <c r="O1" s="81"/>
      <c r="P1" s="81"/>
    </row>
    <row r="2" spans="1:16" ht="6" customHeight="1" x14ac:dyDescent="0.25"/>
    <row r="3" spans="1:16" ht="25.5" x14ac:dyDescent="0.25">
      <c r="A3" s="1" t="s">
        <v>239</v>
      </c>
      <c r="B3" s="1" t="s">
        <v>240</v>
      </c>
      <c r="C3" s="1" t="s">
        <v>594</v>
      </c>
      <c r="D3" s="1" t="s">
        <v>595</v>
      </c>
      <c r="E3" s="1" t="s">
        <v>596</v>
      </c>
      <c r="F3" s="1" t="s">
        <v>597</v>
      </c>
      <c r="G3" s="1" t="s">
        <v>598</v>
      </c>
      <c r="H3" s="1" t="s">
        <v>599</v>
      </c>
      <c r="I3" s="1" t="s">
        <v>600</v>
      </c>
      <c r="J3" s="1" t="s">
        <v>601</v>
      </c>
      <c r="K3" s="1" t="s">
        <v>602</v>
      </c>
      <c r="L3" s="1" t="s">
        <v>603</v>
      </c>
      <c r="M3" s="1" t="s">
        <v>604</v>
      </c>
      <c r="N3" s="1" t="s">
        <v>605</v>
      </c>
      <c r="O3" s="1" t="s">
        <v>606</v>
      </c>
      <c r="P3" s="1" t="s">
        <v>607</v>
      </c>
    </row>
    <row r="4" spans="1:16" x14ac:dyDescent="0.25">
      <c r="A4" s="2">
        <v>4000</v>
      </c>
      <c r="B4" s="2" t="s">
        <v>355</v>
      </c>
      <c r="C4" s="2" t="s">
        <v>356</v>
      </c>
      <c r="D4" s="18">
        <v>5000</v>
      </c>
      <c r="E4" s="18">
        <v>5000</v>
      </c>
      <c r="F4" s="18">
        <v>5000</v>
      </c>
      <c r="G4" s="18">
        <v>5000</v>
      </c>
      <c r="H4" s="18">
        <v>5000</v>
      </c>
      <c r="I4" s="18">
        <v>5000</v>
      </c>
      <c r="J4" s="18">
        <v>5000</v>
      </c>
      <c r="K4" s="18">
        <v>5000</v>
      </c>
      <c r="L4" s="18">
        <v>5000</v>
      </c>
      <c r="M4" s="18">
        <v>5000</v>
      </c>
      <c r="N4" s="18">
        <v>5000</v>
      </c>
      <c r="O4" s="18">
        <v>5000</v>
      </c>
      <c r="P4" s="42">
        <f t="shared" ref="P4:P17" si="0">SUM(D4:O4)</f>
        <v>60000</v>
      </c>
    </row>
    <row r="5" spans="1:16" x14ac:dyDescent="0.25">
      <c r="A5" s="4">
        <v>4020</v>
      </c>
      <c r="B5" s="4" t="s">
        <v>608</v>
      </c>
      <c r="C5" s="4" t="s">
        <v>356</v>
      </c>
      <c r="D5" s="19">
        <v>0</v>
      </c>
      <c r="E5" s="19">
        <v>0</v>
      </c>
      <c r="F5" s="19">
        <v>0</v>
      </c>
      <c r="G5" s="19">
        <v>0</v>
      </c>
      <c r="H5" s="19">
        <v>0</v>
      </c>
      <c r="I5" s="19">
        <v>0</v>
      </c>
      <c r="J5" s="19">
        <v>0</v>
      </c>
      <c r="K5" s="19">
        <v>0</v>
      </c>
      <c r="L5" s="19">
        <v>0</v>
      </c>
      <c r="M5" s="19">
        <v>0</v>
      </c>
      <c r="N5" s="19">
        <v>0</v>
      </c>
      <c r="O5" s="19">
        <v>0</v>
      </c>
      <c r="P5" s="43">
        <f t="shared" si="0"/>
        <v>0</v>
      </c>
    </row>
    <row r="6" spans="1:16" x14ac:dyDescent="0.25">
      <c r="A6" s="2">
        <v>5100</v>
      </c>
      <c r="B6" s="2" t="s">
        <v>388</v>
      </c>
      <c r="C6" s="2" t="s">
        <v>383</v>
      </c>
      <c r="D6" s="18">
        <v>8000</v>
      </c>
      <c r="E6" s="18">
        <v>8000</v>
      </c>
      <c r="F6" s="18">
        <v>5000</v>
      </c>
      <c r="G6" s="18">
        <v>3000</v>
      </c>
      <c r="H6" s="18">
        <v>2000</v>
      </c>
      <c r="I6" s="18">
        <v>0</v>
      </c>
      <c r="J6" s="18">
        <v>0</v>
      </c>
      <c r="K6" s="18">
        <v>0</v>
      </c>
      <c r="L6" s="18">
        <v>0</v>
      </c>
      <c r="M6" s="18">
        <v>0</v>
      </c>
      <c r="N6" s="18">
        <v>0</v>
      </c>
      <c r="O6" s="18">
        <v>0</v>
      </c>
      <c r="P6" s="42">
        <f t="shared" si="0"/>
        <v>26000</v>
      </c>
    </row>
    <row r="7" spans="1:16" x14ac:dyDescent="0.25">
      <c r="A7" s="4">
        <v>5110</v>
      </c>
      <c r="B7" s="4" t="s">
        <v>390</v>
      </c>
      <c r="C7" s="4" t="s">
        <v>383</v>
      </c>
      <c r="D7" s="19">
        <v>5000</v>
      </c>
      <c r="E7" s="19">
        <v>5000</v>
      </c>
      <c r="F7" s="19">
        <v>3000</v>
      </c>
      <c r="G7" s="19">
        <v>2000</v>
      </c>
      <c r="H7" s="19">
        <v>1000</v>
      </c>
      <c r="I7" s="19">
        <v>0</v>
      </c>
      <c r="J7" s="19">
        <v>0</v>
      </c>
      <c r="K7" s="19">
        <v>0</v>
      </c>
      <c r="L7" s="19">
        <v>0</v>
      </c>
      <c r="M7" s="19">
        <v>0</v>
      </c>
      <c r="N7" s="19">
        <v>0</v>
      </c>
      <c r="O7" s="19">
        <v>0</v>
      </c>
      <c r="P7" s="43">
        <f t="shared" si="0"/>
        <v>16000</v>
      </c>
    </row>
    <row r="8" spans="1:16" x14ac:dyDescent="0.25">
      <c r="A8" s="2">
        <v>5210</v>
      </c>
      <c r="B8" s="2" t="s">
        <v>609</v>
      </c>
      <c r="C8" s="2" t="s">
        <v>383</v>
      </c>
      <c r="D8" s="18">
        <v>750</v>
      </c>
      <c r="E8" s="18">
        <v>750</v>
      </c>
      <c r="F8" s="18">
        <v>750</v>
      </c>
      <c r="G8" s="18">
        <v>750</v>
      </c>
      <c r="H8" s="18">
        <v>750</v>
      </c>
      <c r="I8" s="18">
        <v>750</v>
      </c>
      <c r="J8" s="18">
        <v>750</v>
      </c>
      <c r="K8" s="18">
        <v>750</v>
      </c>
      <c r="L8" s="18">
        <v>750</v>
      </c>
      <c r="M8" s="18">
        <v>750</v>
      </c>
      <c r="N8" s="18">
        <v>750</v>
      </c>
      <c r="O8" s="18">
        <v>750</v>
      </c>
      <c r="P8" s="42">
        <f t="shared" si="0"/>
        <v>9000</v>
      </c>
    </row>
    <row r="9" spans="1:16" x14ac:dyDescent="0.25">
      <c r="A9" s="4">
        <v>5220</v>
      </c>
      <c r="B9" s="4" t="s">
        <v>400</v>
      </c>
      <c r="C9" s="4" t="s">
        <v>383</v>
      </c>
      <c r="D9" s="19">
        <v>100</v>
      </c>
      <c r="E9" s="19">
        <v>100</v>
      </c>
      <c r="F9" s="19">
        <v>100</v>
      </c>
      <c r="G9" s="19">
        <v>100</v>
      </c>
      <c r="H9" s="19">
        <v>100</v>
      </c>
      <c r="I9" s="19">
        <v>100</v>
      </c>
      <c r="J9" s="19">
        <v>100</v>
      </c>
      <c r="K9" s="19">
        <v>100</v>
      </c>
      <c r="L9" s="19">
        <v>100</v>
      </c>
      <c r="M9" s="19">
        <v>100</v>
      </c>
      <c r="N9" s="19">
        <v>100</v>
      </c>
      <c r="O9" s="19">
        <v>100</v>
      </c>
      <c r="P9" s="43">
        <f t="shared" si="0"/>
        <v>1200</v>
      </c>
    </row>
    <row r="10" spans="1:16" x14ac:dyDescent="0.25">
      <c r="A10" s="2">
        <v>6100</v>
      </c>
      <c r="B10" s="2" t="s">
        <v>415</v>
      </c>
      <c r="C10" s="2" t="s">
        <v>410</v>
      </c>
      <c r="D10" s="18">
        <v>1500</v>
      </c>
      <c r="E10" s="18">
        <v>1500</v>
      </c>
      <c r="F10" s="18">
        <v>1500</v>
      </c>
      <c r="G10" s="18">
        <v>1500</v>
      </c>
      <c r="H10" s="18">
        <v>1500</v>
      </c>
      <c r="I10" s="18">
        <v>1500</v>
      </c>
      <c r="J10" s="18">
        <v>1500</v>
      </c>
      <c r="K10" s="18">
        <v>1500</v>
      </c>
      <c r="L10" s="18">
        <v>1500</v>
      </c>
      <c r="M10" s="18">
        <v>1500</v>
      </c>
      <c r="N10" s="18">
        <v>1500</v>
      </c>
      <c r="O10" s="18">
        <v>1500</v>
      </c>
      <c r="P10" s="42">
        <f t="shared" si="0"/>
        <v>18000</v>
      </c>
    </row>
    <row r="11" spans="1:16" x14ac:dyDescent="0.25">
      <c r="A11" s="4">
        <v>6120</v>
      </c>
      <c r="B11" s="4" t="s">
        <v>497</v>
      </c>
      <c r="C11" s="4" t="s">
        <v>410</v>
      </c>
      <c r="D11" s="19">
        <v>299</v>
      </c>
      <c r="E11" s="19">
        <v>299</v>
      </c>
      <c r="F11" s="19">
        <v>299</v>
      </c>
      <c r="G11" s="19">
        <v>299</v>
      </c>
      <c r="H11" s="19">
        <v>299</v>
      </c>
      <c r="I11" s="19">
        <v>299</v>
      </c>
      <c r="J11" s="19">
        <v>299</v>
      </c>
      <c r="K11" s="19">
        <v>299</v>
      </c>
      <c r="L11" s="19">
        <v>299</v>
      </c>
      <c r="M11" s="19">
        <v>299</v>
      </c>
      <c r="N11" s="19">
        <v>299</v>
      </c>
      <c r="O11" s="19">
        <v>299</v>
      </c>
      <c r="P11" s="43">
        <f t="shared" si="0"/>
        <v>3588</v>
      </c>
    </row>
    <row r="12" spans="1:16" x14ac:dyDescent="0.25">
      <c r="A12" s="2">
        <v>6300</v>
      </c>
      <c r="B12" s="2" t="s">
        <v>429</v>
      </c>
      <c r="C12" s="2" t="s">
        <v>410</v>
      </c>
      <c r="D12" s="18">
        <v>500</v>
      </c>
      <c r="E12" s="18">
        <v>0</v>
      </c>
      <c r="F12" s="18">
        <v>500</v>
      </c>
      <c r="G12" s="18">
        <v>0</v>
      </c>
      <c r="H12" s="18">
        <v>500</v>
      </c>
      <c r="I12" s="18">
        <v>0</v>
      </c>
      <c r="J12" s="18">
        <v>500</v>
      </c>
      <c r="K12" s="18">
        <v>0</v>
      </c>
      <c r="L12" s="18">
        <v>500</v>
      </c>
      <c r="M12" s="18">
        <v>0</v>
      </c>
      <c r="N12" s="18">
        <v>500</v>
      </c>
      <c r="O12" s="18">
        <v>0</v>
      </c>
      <c r="P12" s="42">
        <f t="shared" si="0"/>
        <v>3000</v>
      </c>
    </row>
    <row r="13" spans="1:16" x14ac:dyDescent="0.25">
      <c r="A13" s="4">
        <v>6310</v>
      </c>
      <c r="B13" s="4" t="s">
        <v>431</v>
      </c>
      <c r="C13" s="4" t="s">
        <v>410</v>
      </c>
      <c r="D13" s="19">
        <v>250</v>
      </c>
      <c r="E13" s="19">
        <v>250</v>
      </c>
      <c r="F13" s="19">
        <v>250</v>
      </c>
      <c r="G13" s="19">
        <v>250</v>
      </c>
      <c r="H13" s="19">
        <v>250</v>
      </c>
      <c r="I13" s="19">
        <v>250</v>
      </c>
      <c r="J13" s="19">
        <v>250</v>
      </c>
      <c r="K13" s="19">
        <v>250</v>
      </c>
      <c r="L13" s="19">
        <v>250</v>
      </c>
      <c r="M13" s="19">
        <v>250</v>
      </c>
      <c r="N13" s="19">
        <v>250</v>
      </c>
      <c r="O13" s="19">
        <v>250</v>
      </c>
      <c r="P13" s="43">
        <f t="shared" si="0"/>
        <v>3000</v>
      </c>
    </row>
    <row r="14" spans="1:16" x14ac:dyDescent="0.25">
      <c r="A14" s="2">
        <v>6400</v>
      </c>
      <c r="B14" s="2" t="s">
        <v>435</v>
      </c>
      <c r="C14" s="2" t="s">
        <v>410</v>
      </c>
      <c r="D14" s="18">
        <v>200</v>
      </c>
      <c r="E14" s="18">
        <v>200</v>
      </c>
      <c r="F14" s="18">
        <v>200</v>
      </c>
      <c r="G14" s="18">
        <v>200</v>
      </c>
      <c r="H14" s="18">
        <v>200</v>
      </c>
      <c r="I14" s="18">
        <v>200</v>
      </c>
      <c r="J14" s="18">
        <v>200</v>
      </c>
      <c r="K14" s="18">
        <v>200</v>
      </c>
      <c r="L14" s="18">
        <v>200</v>
      </c>
      <c r="M14" s="18">
        <v>200</v>
      </c>
      <c r="N14" s="18">
        <v>200</v>
      </c>
      <c r="O14" s="18">
        <v>200</v>
      </c>
      <c r="P14" s="42">
        <f t="shared" si="0"/>
        <v>2400</v>
      </c>
    </row>
    <row r="15" spans="1:16" x14ac:dyDescent="0.25">
      <c r="A15" s="4">
        <v>6500</v>
      </c>
      <c r="B15" s="4" t="s">
        <v>439</v>
      </c>
      <c r="C15" s="4" t="s">
        <v>410</v>
      </c>
      <c r="D15" s="19">
        <v>150</v>
      </c>
      <c r="E15" s="19">
        <v>150</v>
      </c>
      <c r="F15" s="19">
        <v>150</v>
      </c>
      <c r="G15" s="19">
        <v>150</v>
      </c>
      <c r="H15" s="19">
        <v>150</v>
      </c>
      <c r="I15" s="19">
        <v>150</v>
      </c>
      <c r="J15" s="19">
        <v>150</v>
      </c>
      <c r="K15" s="19">
        <v>150</v>
      </c>
      <c r="L15" s="19">
        <v>150</v>
      </c>
      <c r="M15" s="19">
        <v>150</v>
      </c>
      <c r="N15" s="19">
        <v>150</v>
      </c>
      <c r="O15" s="19">
        <v>150</v>
      </c>
      <c r="P15" s="43">
        <f t="shared" si="0"/>
        <v>1800</v>
      </c>
    </row>
    <row r="16" spans="1:16" x14ac:dyDescent="0.25">
      <c r="A16" s="2">
        <v>6600</v>
      </c>
      <c r="B16" s="2" t="s">
        <v>443</v>
      </c>
      <c r="C16" s="2" t="s">
        <v>410</v>
      </c>
      <c r="D16" s="18">
        <v>300</v>
      </c>
      <c r="E16" s="18">
        <v>300</v>
      </c>
      <c r="F16" s="18">
        <v>300</v>
      </c>
      <c r="G16" s="18">
        <v>300</v>
      </c>
      <c r="H16" s="18">
        <v>300</v>
      </c>
      <c r="I16" s="18">
        <v>300</v>
      </c>
      <c r="J16" s="18">
        <v>300</v>
      </c>
      <c r="K16" s="18">
        <v>300</v>
      </c>
      <c r="L16" s="18">
        <v>300</v>
      </c>
      <c r="M16" s="18">
        <v>300</v>
      </c>
      <c r="N16" s="18">
        <v>300</v>
      </c>
      <c r="O16" s="18">
        <v>300</v>
      </c>
      <c r="P16" s="42">
        <f t="shared" si="0"/>
        <v>3600</v>
      </c>
    </row>
    <row r="17" spans="1:16" x14ac:dyDescent="0.25">
      <c r="A17" s="4">
        <v>6700</v>
      </c>
      <c r="B17" s="4" t="s">
        <v>447</v>
      </c>
      <c r="C17" s="4" t="s">
        <v>410</v>
      </c>
      <c r="D17" s="19">
        <v>25</v>
      </c>
      <c r="E17" s="19">
        <v>25</v>
      </c>
      <c r="F17" s="19">
        <v>25</v>
      </c>
      <c r="G17" s="19">
        <v>25</v>
      </c>
      <c r="H17" s="19">
        <v>25</v>
      </c>
      <c r="I17" s="19">
        <v>25</v>
      </c>
      <c r="J17" s="19">
        <v>25</v>
      </c>
      <c r="K17" s="19">
        <v>25</v>
      </c>
      <c r="L17" s="19">
        <v>25</v>
      </c>
      <c r="M17" s="19">
        <v>25</v>
      </c>
      <c r="N17" s="19">
        <v>25</v>
      </c>
      <c r="O17" s="19">
        <v>25</v>
      </c>
      <c r="P17" s="43">
        <f t="shared" si="0"/>
        <v>300</v>
      </c>
    </row>
  </sheetData>
  <mergeCells count="1">
    <mergeCell ref="A1:P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A2744"/>
  </sheetPr>
  <dimension ref="A1:G11"/>
  <sheetViews>
    <sheetView workbookViewId="0">
      <pane ySplit="3" topLeftCell="A4" activePane="bottomLeft" state="frozen"/>
      <selection pane="bottomLeft" sqref="A1:G1"/>
    </sheetView>
  </sheetViews>
  <sheetFormatPr defaultRowHeight="15" x14ac:dyDescent="0.25"/>
  <cols>
    <col min="1" max="1" width="14" customWidth="1"/>
    <col min="2" max="2" width="38" customWidth="1"/>
    <col min="3" max="5" width="14" customWidth="1"/>
    <col min="6" max="6" width="12" customWidth="1"/>
    <col min="7" max="7" width="16" customWidth="1"/>
  </cols>
  <sheetData>
    <row r="1" spans="1:7" ht="27.95" customHeight="1" x14ac:dyDescent="0.25">
      <c r="A1" s="84" t="s">
        <v>610</v>
      </c>
      <c r="B1" s="81"/>
      <c r="C1" s="81"/>
      <c r="D1" s="81"/>
      <c r="E1" s="81"/>
      <c r="F1" s="81"/>
      <c r="G1" s="81"/>
    </row>
    <row r="2" spans="1:7" ht="6" customHeight="1" x14ac:dyDescent="0.25"/>
    <row r="3" spans="1:7" ht="25.5" x14ac:dyDescent="0.25">
      <c r="A3" s="1" t="s">
        <v>239</v>
      </c>
      <c r="B3" s="1" t="s">
        <v>240</v>
      </c>
      <c r="C3" s="1" t="s">
        <v>611</v>
      </c>
      <c r="D3" s="1" t="s">
        <v>612</v>
      </c>
      <c r="E3" s="1" t="s">
        <v>613</v>
      </c>
      <c r="F3" s="1" t="s">
        <v>614</v>
      </c>
      <c r="G3" s="1" t="s">
        <v>35</v>
      </c>
    </row>
    <row r="4" spans="1:7" x14ac:dyDescent="0.25">
      <c r="A4" s="2">
        <v>4000</v>
      </c>
      <c r="B4" s="2" t="s">
        <v>355</v>
      </c>
      <c r="C4" s="18">
        <v>25000</v>
      </c>
      <c r="D4" s="18">
        <v>0</v>
      </c>
      <c r="E4" s="36">
        <f t="shared" ref="E4:E11" si="0">C4-D4</f>
        <v>25000</v>
      </c>
      <c r="F4" s="44">
        <f t="shared" ref="F4:F11" si="1">IF(C4=0,0,(C4-D4)/C4)</f>
        <v>1</v>
      </c>
      <c r="G4" s="2" t="str">
        <f t="shared" ref="G4:G11" si="2">IF(C4=0,"N/A",IF(E4&lt;0,"OVER BUDGET",IF(ABS(F4)&lt;0.1,"ON TRACK","UNDER BUDGET")))</f>
        <v>UNDER BUDGET</v>
      </c>
    </row>
    <row r="5" spans="1:7" x14ac:dyDescent="0.25">
      <c r="A5" s="4">
        <v>5100</v>
      </c>
      <c r="B5" s="4" t="s">
        <v>388</v>
      </c>
      <c r="C5" s="19">
        <v>26000</v>
      </c>
      <c r="D5" s="19">
        <v>8000</v>
      </c>
      <c r="E5" s="35">
        <f t="shared" si="0"/>
        <v>18000</v>
      </c>
      <c r="F5" s="45">
        <f t="shared" si="1"/>
        <v>0.69230769230769229</v>
      </c>
      <c r="G5" s="4" t="str">
        <f t="shared" si="2"/>
        <v>UNDER BUDGET</v>
      </c>
    </row>
    <row r="6" spans="1:7" x14ac:dyDescent="0.25">
      <c r="A6" s="2">
        <v>5110</v>
      </c>
      <c r="B6" s="2" t="s">
        <v>390</v>
      </c>
      <c r="C6" s="18">
        <v>16000</v>
      </c>
      <c r="D6" s="18">
        <v>3500</v>
      </c>
      <c r="E6" s="36">
        <f t="shared" si="0"/>
        <v>12500</v>
      </c>
      <c r="F6" s="44">
        <f t="shared" si="1"/>
        <v>0.78125</v>
      </c>
      <c r="G6" s="2" t="str">
        <f t="shared" si="2"/>
        <v>UNDER BUDGET</v>
      </c>
    </row>
    <row r="7" spans="1:7" x14ac:dyDescent="0.25">
      <c r="A7" s="4">
        <v>5210</v>
      </c>
      <c r="B7" s="4" t="s">
        <v>609</v>
      </c>
      <c r="C7" s="19">
        <v>3750</v>
      </c>
      <c r="D7" s="19">
        <v>750</v>
      </c>
      <c r="E7" s="35">
        <f t="shared" si="0"/>
        <v>3000</v>
      </c>
      <c r="F7" s="45">
        <f t="shared" si="1"/>
        <v>0.8</v>
      </c>
      <c r="G7" s="4" t="str">
        <f t="shared" si="2"/>
        <v>UNDER BUDGET</v>
      </c>
    </row>
    <row r="8" spans="1:7" x14ac:dyDescent="0.25">
      <c r="A8" s="2">
        <v>6100</v>
      </c>
      <c r="B8" s="2" t="s">
        <v>415</v>
      </c>
      <c r="C8" s="18">
        <v>7500</v>
      </c>
      <c r="D8" s="18">
        <v>0</v>
      </c>
      <c r="E8" s="36">
        <f t="shared" si="0"/>
        <v>7500</v>
      </c>
      <c r="F8" s="44">
        <f t="shared" si="1"/>
        <v>1</v>
      </c>
      <c r="G8" s="2" t="str">
        <f t="shared" si="2"/>
        <v>UNDER BUDGET</v>
      </c>
    </row>
    <row r="9" spans="1:7" x14ac:dyDescent="0.25">
      <c r="A9" s="4">
        <v>6120</v>
      </c>
      <c r="B9" s="4" t="s">
        <v>497</v>
      </c>
      <c r="C9" s="19">
        <v>1495</v>
      </c>
      <c r="D9" s="19">
        <v>299</v>
      </c>
      <c r="E9" s="35">
        <f t="shared" si="0"/>
        <v>1196</v>
      </c>
      <c r="F9" s="45">
        <f t="shared" si="1"/>
        <v>0.8</v>
      </c>
      <c r="G9" s="4" t="str">
        <f t="shared" si="2"/>
        <v>UNDER BUDGET</v>
      </c>
    </row>
    <row r="10" spans="1:7" x14ac:dyDescent="0.25">
      <c r="A10" s="2">
        <v>6300</v>
      </c>
      <c r="B10" s="2" t="s">
        <v>429</v>
      </c>
      <c r="C10" s="18">
        <v>1500</v>
      </c>
      <c r="D10" s="18">
        <v>0</v>
      </c>
      <c r="E10" s="36">
        <f t="shared" si="0"/>
        <v>1500</v>
      </c>
      <c r="F10" s="44">
        <f t="shared" si="1"/>
        <v>1</v>
      </c>
      <c r="G10" s="2" t="str">
        <f t="shared" si="2"/>
        <v>UNDER BUDGET</v>
      </c>
    </row>
    <row r="11" spans="1:7" x14ac:dyDescent="0.25">
      <c r="A11" s="4">
        <v>6310</v>
      </c>
      <c r="B11" s="4" t="s">
        <v>431</v>
      </c>
      <c r="C11" s="19">
        <v>1250</v>
      </c>
      <c r="D11" s="19">
        <v>0</v>
      </c>
      <c r="E11" s="35">
        <f t="shared" si="0"/>
        <v>1250</v>
      </c>
      <c r="F11" s="45">
        <f t="shared" si="1"/>
        <v>1</v>
      </c>
      <c r="G11" s="4" t="str">
        <f t="shared" si="2"/>
        <v>UNDER BUDGET</v>
      </c>
    </row>
  </sheetData>
  <mergeCells count="1">
    <mergeCell ref="A1:G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80"/>
  </sheetPr>
  <dimension ref="A1:J5"/>
  <sheetViews>
    <sheetView workbookViewId="0">
      <pane ySplit="3" topLeftCell="A4" activePane="bottomLeft" state="frozen"/>
      <selection pane="bottomLeft" sqref="A1:J1"/>
    </sheetView>
  </sheetViews>
  <sheetFormatPr defaultRowHeight="15" x14ac:dyDescent="0.25"/>
  <cols>
    <col min="1" max="1" width="12" customWidth="1"/>
    <col min="2" max="2" width="16" customWidth="1"/>
    <col min="3" max="3" width="20" customWidth="1"/>
    <col min="4" max="4" width="16" customWidth="1"/>
    <col min="5" max="5" width="14" customWidth="1"/>
    <col min="6" max="8" width="16" customWidth="1"/>
    <col min="9" max="9" width="10" customWidth="1"/>
    <col min="10" max="10" width="35" customWidth="1"/>
  </cols>
  <sheetData>
    <row r="1" spans="1:10" ht="27.95" customHeight="1" x14ac:dyDescent="0.25">
      <c r="A1" s="84" t="s">
        <v>615</v>
      </c>
      <c r="B1" s="81"/>
      <c r="C1" s="81"/>
      <c r="D1" s="81"/>
      <c r="E1" s="81"/>
      <c r="F1" s="81"/>
      <c r="G1" s="81"/>
      <c r="H1" s="81"/>
      <c r="I1" s="81"/>
      <c r="J1" s="81"/>
    </row>
    <row r="2" spans="1:10" ht="6" customHeight="1" x14ac:dyDescent="0.25"/>
    <row r="3" spans="1:10" ht="25.5" x14ac:dyDescent="0.25">
      <c r="A3" s="1" t="s">
        <v>616</v>
      </c>
      <c r="B3" s="1" t="s">
        <v>617</v>
      </c>
      <c r="C3" s="1" t="s">
        <v>241</v>
      </c>
      <c r="D3" s="1" t="s">
        <v>239</v>
      </c>
      <c r="E3" s="1" t="s">
        <v>618</v>
      </c>
      <c r="F3" s="1" t="s">
        <v>619</v>
      </c>
      <c r="G3" s="1" t="s">
        <v>620</v>
      </c>
      <c r="H3" s="1" t="s">
        <v>621</v>
      </c>
      <c r="I3" s="1" t="s">
        <v>35</v>
      </c>
      <c r="J3" s="1" t="s">
        <v>3</v>
      </c>
    </row>
    <row r="4" spans="1:10" x14ac:dyDescent="0.25">
      <c r="A4" s="2" t="s">
        <v>622</v>
      </c>
      <c r="B4" s="2" t="s">
        <v>623</v>
      </c>
      <c r="C4" s="2" t="s">
        <v>624</v>
      </c>
      <c r="D4" s="2" t="s">
        <v>625</v>
      </c>
      <c r="E4" s="2" t="s">
        <v>626</v>
      </c>
      <c r="F4" s="36">
        <v>0</v>
      </c>
      <c r="G4" s="18">
        <v>17200</v>
      </c>
      <c r="H4" s="2" t="s">
        <v>19</v>
      </c>
      <c r="I4" s="2" t="s">
        <v>41</v>
      </c>
      <c r="J4" s="2" t="s">
        <v>627</v>
      </c>
    </row>
    <row r="5" spans="1:10" x14ac:dyDescent="0.25">
      <c r="A5" s="4" t="s">
        <v>628</v>
      </c>
      <c r="B5" s="4" t="s">
        <v>623</v>
      </c>
      <c r="C5" s="4" t="s">
        <v>629</v>
      </c>
      <c r="D5" s="4" t="s">
        <v>630</v>
      </c>
      <c r="E5" s="4" t="s">
        <v>626</v>
      </c>
      <c r="F5" s="35">
        <v>0</v>
      </c>
      <c r="G5" s="19">
        <v>0</v>
      </c>
      <c r="H5" s="4"/>
      <c r="I5" s="4" t="s">
        <v>41</v>
      </c>
      <c r="J5" s="4" t="s">
        <v>631</v>
      </c>
    </row>
  </sheetData>
  <mergeCells count="1">
    <mergeCell ref="A1:J1"/>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80"/>
  </sheetPr>
  <dimension ref="A1:L8"/>
  <sheetViews>
    <sheetView workbookViewId="0">
      <pane ySplit="3" topLeftCell="A4" activePane="bottomLeft" state="frozen"/>
      <selection pane="bottomLeft" sqref="A1:L1"/>
    </sheetView>
  </sheetViews>
  <sheetFormatPr defaultRowHeight="15" x14ac:dyDescent="0.25"/>
  <cols>
    <col min="1" max="1" width="10" customWidth="1"/>
    <col min="2" max="3" width="12" customWidth="1"/>
    <col min="4" max="4" width="32" customWidth="1"/>
    <col min="5" max="6" width="14" customWidth="1"/>
    <col min="7" max="7" width="16" customWidth="1"/>
    <col min="8" max="8" width="12" customWidth="1"/>
    <col min="9" max="9" width="10" customWidth="1"/>
    <col min="10" max="10" width="12" customWidth="1"/>
    <col min="11" max="11" width="14" customWidth="1"/>
    <col min="12" max="12" width="28" customWidth="1"/>
  </cols>
  <sheetData>
    <row r="1" spans="1:12" ht="27.95" customHeight="1" x14ac:dyDescent="0.25">
      <c r="A1" s="84" t="s">
        <v>632</v>
      </c>
      <c r="B1" s="81"/>
      <c r="C1" s="81"/>
      <c r="D1" s="81"/>
      <c r="E1" s="81"/>
      <c r="F1" s="81"/>
      <c r="G1" s="81"/>
      <c r="H1" s="81"/>
      <c r="I1" s="81"/>
      <c r="J1" s="81"/>
      <c r="K1" s="81"/>
      <c r="L1" s="81"/>
    </row>
    <row r="2" spans="1:12" ht="6" customHeight="1" x14ac:dyDescent="0.25"/>
    <row r="3" spans="1:12" x14ac:dyDescent="0.25">
      <c r="A3" s="1" t="s">
        <v>633</v>
      </c>
      <c r="B3" s="1" t="s">
        <v>460</v>
      </c>
      <c r="C3" s="1" t="s">
        <v>616</v>
      </c>
      <c r="D3" s="1" t="s">
        <v>102</v>
      </c>
      <c r="E3" s="1" t="s">
        <v>634</v>
      </c>
      <c r="F3" s="1" t="s">
        <v>635</v>
      </c>
      <c r="G3" s="1" t="s">
        <v>594</v>
      </c>
      <c r="H3" s="1" t="s">
        <v>636</v>
      </c>
      <c r="I3" s="1" t="s">
        <v>637</v>
      </c>
      <c r="J3" s="1" t="s">
        <v>638</v>
      </c>
      <c r="K3" s="1" t="s">
        <v>467</v>
      </c>
      <c r="L3" s="1" t="s">
        <v>3</v>
      </c>
    </row>
    <row r="4" spans="1:12" x14ac:dyDescent="0.25">
      <c r="A4" s="2" t="s">
        <v>639</v>
      </c>
      <c r="B4" s="2" t="s">
        <v>470</v>
      </c>
      <c r="C4" s="2" t="s">
        <v>622</v>
      </c>
      <c r="D4" s="2" t="s">
        <v>640</v>
      </c>
      <c r="E4" s="18">
        <v>25000</v>
      </c>
      <c r="F4" s="2" t="s">
        <v>641</v>
      </c>
      <c r="G4" s="2" t="s">
        <v>642</v>
      </c>
      <c r="H4" s="2">
        <v>3030</v>
      </c>
      <c r="I4" s="2" t="s">
        <v>250</v>
      </c>
      <c r="J4" s="2" t="s">
        <v>250</v>
      </c>
      <c r="K4" s="2" t="s">
        <v>643</v>
      </c>
      <c r="L4" s="2" t="s">
        <v>644</v>
      </c>
    </row>
    <row r="5" spans="1:12" x14ac:dyDescent="0.25">
      <c r="A5" s="4" t="s">
        <v>645</v>
      </c>
      <c r="B5" s="4" t="s">
        <v>470</v>
      </c>
      <c r="C5" s="4" t="s">
        <v>622</v>
      </c>
      <c r="D5" s="4" t="s">
        <v>646</v>
      </c>
      <c r="E5" s="19">
        <v>-4500</v>
      </c>
      <c r="F5" s="4" t="s">
        <v>647</v>
      </c>
      <c r="G5" s="4" t="s">
        <v>648</v>
      </c>
      <c r="H5" s="4">
        <v>5010</v>
      </c>
      <c r="I5" s="4" t="s">
        <v>250</v>
      </c>
      <c r="J5" s="4" t="s">
        <v>250</v>
      </c>
      <c r="K5" s="4" t="s">
        <v>649</v>
      </c>
      <c r="L5" s="4"/>
    </row>
    <row r="6" spans="1:12" x14ac:dyDescent="0.25">
      <c r="A6" s="2" t="s">
        <v>650</v>
      </c>
      <c r="B6" s="2" t="s">
        <v>485</v>
      </c>
      <c r="C6" s="2" t="s">
        <v>622</v>
      </c>
      <c r="D6" s="2" t="s">
        <v>651</v>
      </c>
      <c r="E6" s="18">
        <v>-3500</v>
      </c>
      <c r="F6" s="2" t="s">
        <v>647</v>
      </c>
      <c r="G6" s="2" t="s">
        <v>652</v>
      </c>
      <c r="H6" s="2">
        <v>5110</v>
      </c>
      <c r="I6" s="2" t="s">
        <v>250</v>
      </c>
      <c r="J6" s="2" t="s">
        <v>250</v>
      </c>
      <c r="K6" s="2" t="s">
        <v>653</v>
      </c>
      <c r="L6" s="2"/>
    </row>
    <row r="7" spans="1:12" x14ac:dyDescent="0.25">
      <c r="A7" s="4" t="s">
        <v>654</v>
      </c>
      <c r="B7" s="4" t="s">
        <v>495</v>
      </c>
      <c r="C7" s="4" t="s">
        <v>622</v>
      </c>
      <c r="D7" s="4" t="s">
        <v>655</v>
      </c>
      <c r="E7" s="19">
        <v>-299</v>
      </c>
      <c r="F7" s="4" t="s">
        <v>647</v>
      </c>
      <c r="G7" s="4" t="s">
        <v>656</v>
      </c>
      <c r="H7" s="4">
        <v>6120</v>
      </c>
      <c r="I7" s="4" t="s">
        <v>250</v>
      </c>
      <c r="J7" s="4" t="s">
        <v>250</v>
      </c>
      <c r="K7" s="4" t="s">
        <v>498</v>
      </c>
      <c r="L7" s="4"/>
    </row>
    <row r="8" spans="1:12" x14ac:dyDescent="0.25">
      <c r="A8" s="2" t="s">
        <v>657</v>
      </c>
      <c r="B8" s="2" t="s">
        <v>19</v>
      </c>
      <c r="C8" s="2" t="s">
        <v>622</v>
      </c>
      <c r="D8" s="2" t="s">
        <v>658</v>
      </c>
      <c r="E8" s="18">
        <v>500</v>
      </c>
      <c r="F8" s="2" t="s">
        <v>641</v>
      </c>
      <c r="G8" s="2" t="s">
        <v>659</v>
      </c>
      <c r="H8" s="2">
        <v>4400</v>
      </c>
      <c r="I8" s="2" t="s">
        <v>660</v>
      </c>
      <c r="J8" s="2" t="s">
        <v>660</v>
      </c>
      <c r="K8" s="2"/>
      <c r="L8" s="2" t="s">
        <v>661</v>
      </c>
    </row>
  </sheetData>
  <mergeCells count="1">
    <mergeCell ref="A1:L1"/>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80"/>
  </sheetPr>
  <dimension ref="A1:D15"/>
  <sheetViews>
    <sheetView workbookViewId="0">
      <selection sqref="A1:D1"/>
    </sheetView>
  </sheetViews>
  <sheetFormatPr defaultRowHeight="15" x14ac:dyDescent="0.25"/>
  <cols>
    <col min="1" max="1" width="35" customWidth="1"/>
    <col min="2" max="3" width="20" customWidth="1"/>
    <col min="4" max="4" width="18" customWidth="1"/>
  </cols>
  <sheetData>
    <row r="1" spans="1:4" ht="27.95" customHeight="1" x14ac:dyDescent="0.25">
      <c r="A1" s="84" t="s">
        <v>662</v>
      </c>
      <c r="B1" s="81"/>
      <c r="C1" s="81"/>
      <c r="D1" s="81"/>
    </row>
    <row r="3" spans="1:4" x14ac:dyDescent="0.25">
      <c r="A3" s="87" t="s">
        <v>663</v>
      </c>
      <c r="B3" s="81"/>
      <c r="C3" s="81"/>
      <c r="D3" s="81"/>
    </row>
    <row r="4" spans="1:4" x14ac:dyDescent="0.25">
      <c r="A4" s="46" t="s">
        <v>664</v>
      </c>
      <c r="B4" s="47"/>
      <c r="C4" s="47"/>
      <c r="D4" s="48">
        <v>17200</v>
      </c>
    </row>
    <row r="5" spans="1:4" x14ac:dyDescent="0.25">
      <c r="A5" s="46" t="s">
        <v>665</v>
      </c>
      <c r="B5" s="47"/>
      <c r="C5" s="47"/>
      <c r="D5" s="48">
        <v>0</v>
      </c>
    </row>
    <row r="6" spans="1:4" x14ac:dyDescent="0.25">
      <c r="A6" s="46" t="s">
        <v>666</v>
      </c>
      <c r="B6" s="47"/>
      <c r="C6" s="47"/>
      <c r="D6" s="48">
        <v>0</v>
      </c>
    </row>
    <row r="7" spans="1:4" x14ac:dyDescent="0.25">
      <c r="A7" s="49" t="s">
        <v>667</v>
      </c>
      <c r="B7" s="47"/>
      <c r="C7" s="47"/>
      <c r="D7" s="50">
        <f>D4+D5-D6</f>
        <v>17200</v>
      </c>
    </row>
    <row r="9" spans="1:4" x14ac:dyDescent="0.25">
      <c r="A9" s="87" t="s">
        <v>668</v>
      </c>
      <c r="B9" s="81"/>
      <c r="C9" s="81"/>
      <c r="D9" s="81"/>
    </row>
    <row r="10" spans="1:4" x14ac:dyDescent="0.25">
      <c r="A10" s="46" t="s">
        <v>669</v>
      </c>
      <c r="B10" s="47"/>
      <c r="C10" s="47"/>
      <c r="D10" s="50">
        <f>SUMIF('21_BANK_TRANSACTIONS'!C:C,"BA001",'21_BANK_TRANSACTIONS'!E:E)</f>
        <v>17201</v>
      </c>
    </row>
    <row r="11" spans="1:4" x14ac:dyDescent="0.25">
      <c r="A11" s="46" t="s">
        <v>670</v>
      </c>
      <c r="B11" s="47"/>
      <c r="C11" s="47"/>
      <c r="D11" s="48">
        <v>0</v>
      </c>
    </row>
    <row r="12" spans="1:4" x14ac:dyDescent="0.25">
      <c r="A12" s="46" t="s">
        <v>671</v>
      </c>
      <c r="B12" s="47"/>
      <c r="C12" s="47"/>
      <c r="D12" s="48">
        <v>0</v>
      </c>
    </row>
    <row r="13" spans="1:4" x14ac:dyDescent="0.25">
      <c r="A13" s="46" t="s">
        <v>672</v>
      </c>
      <c r="B13" s="47"/>
      <c r="C13" s="47"/>
      <c r="D13" s="50">
        <f>D10+D11-D12</f>
        <v>17201</v>
      </c>
    </row>
    <row r="15" spans="1:4" x14ac:dyDescent="0.25">
      <c r="A15" s="51" t="s">
        <v>673</v>
      </c>
      <c r="B15" s="47"/>
      <c r="C15" s="47"/>
      <c r="D15" s="52">
        <f>D7-D13</f>
        <v>-1</v>
      </c>
    </row>
  </sheetData>
  <mergeCells count="3">
    <mergeCell ref="A1:D1"/>
    <mergeCell ref="A9:D9"/>
    <mergeCell ref="A3:D3"/>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80"/>
  </sheetPr>
  <dimension ref="A1:K5"/>
  <sheetViews>
    <sheetView workbookViewId="0">
      <pane ySplit="3" topLeftCell="A4" activePane="bottomLeft" state="frozen"/>
      <selection pane="bottomLeft" sqref="A1:K1"/>
    </sheetView>
  </sheetViews>
  <sheetFormatPr defaultRowHeight="15" x14ac:dyDescent="0.25"/>
  <cols>
    <col min="1" max="1" width="10" customWidth="1"/>
    <col min="2" max="2" width="12" customWidth="1"/>
    <col min="3" max="3" width="18" customWidth="1"/>
    <col min="4" max="4" width="22" customWidth="1"/>
    <col min="5" max="5" width="12" customWidth="1"/>
    <col min="6" max="6" width="22" customWidth="1"/>
    <col min="7" max="7" width="12" customWidth="1"/>
    <col min="8" max="8" width="10" customWidth="1"/>
    <col min="9" max="10" width="12" customWidth="1"/>
    <col min="11" max="11" width="30" customWidth="1"/>
  </cols>
  <sheetData>
    <row r="1" spans="1:11" ht="27.95" customHeight="1" x14ac:dyDescent="0.25">
      <c r="A1" s="84" t="s">
        <v>674</v>
      </c>
      <c r="B1" s="81"/>
      <c r="C1" s="81"/>
      <c r="D1" s="81"/>
      <c r="E1" s="81"/>
      <c r="F1" s="81"/>
      <c r="G1" s="81"/>
      <c r="H1" s="81"/>
      <c r="I1" s="81"/>
      <c r="J1" s="81"/>
      <c r="K1" s="81"/>
    </row>
    <row r="2" spans="1:11" ht="6" customHeight="1" x14ac:dyDescent="0.25"/>
    <row r="3" spans="1:11" ht="25.5" x14ac:dyDescent="0.25">
      <c r="A3" s="1" t="s">
        <v>633</v>
      </c>
      <c r="B3" s="1" t="s">
        <v>460</v>
      </c>
      <c r="C3" s="1" t="s">
        <v>675</v>
      </c>
      <c r="D3" s="1" t="s">
        <v>676</v>
      </c>
      <c r="E3" s="1" t="s">
        <v>634</v>
      </c>
      <c r="F3" s="1" t="s">
        <v>594</v>
      </c>
      <c r="G3" s="1" t="s">
        <v>636</v>
      </c>
      <c r="H3" s="1" t="s">
        <v>244</v>
      </c>
      <c r="I3" s="1" t="s">
        <v>677</v>
      </c>
      <c r="J3" s="1" t="s">
        <v>638</v>
      </c>
      <c r="K3" s="1" t="s">
        <v>3</v>
      </c>
    </row>
    <row r="4" spans="1:11" x14ac:dyDescent="0.25">
      <c r="A4" s="2" t="s">
        <v>678</v>
      </c>
      <c r="B4" s="2" t="s">
        <v>495</v>
      </c>
      <c r="C4" s="2" t="s">
        <v>679</v>
      </c>
      <c r="D4" s="2" t="s">
        <v>680</v>
      </c>
      <c r="E4" s="18">
        <v>299</v>
      </c>
      <c r="F4" s="2" t="s">
        <v>681</v>
      </c>
      <c r="G4" s="2">
        <v>6120</v>
      </c>
      <c r="H4" s="2" t="s">
        <v>279</v>
      </c>
      <c r="I4" s="2" t="s">
        <v>660</v>
      </c>
      <c r="J4" s="2" t="s">
        <v>660</v>
      </c>
      <c r="K4" s="2" t="s">
        <v>682</v>
      </c>
    </row>
    <row r="5" spans="1:11" x14ac:dyDescent="0.25">
      <c r="A5" s="4" t="s">
        <v>683</v>
      </c>
      <c r="B5" s="4" t="s">
        <v>490</v>
      </c>
      <c r="C5" s="4" t="s">
        <v>679</v>
      </c>
      <c r="D5" s="4" t="s">
        <v>684</v>
      </c>
      <c r="E5" s="19">
        <v>450</v>
      </c>
      <c r="F5" s="4" t="s">
        <v>685</v>
      </c>
      <c r="G5" s="4">
        <v>5110</v>
      </c>
      <c r="H5" s="4" t="s">
        <v>279</v>
      </c>
      <c r="I5" s="4" t="s">
        <v>660</v>
      </c>
      <c r="J5" s="4" t="s">
        <v>660</v>
      </c>
      <c r="K5" s="4" t="s">
        <v>686</v>
      </c>
    </row>
  </sheetData>
  <mergeCells count="1">
    <mergeCell ref="A1:K1"/>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600"/>
  </sheetPr>
  <dimension ref="A1:L5"/>
  <sheetViews>
    <sheetView workbookViewId="0">
      <pane ySplit="3" topLeftCell="A4" activePane="bottomLeft" state="frozen"/>
      <selection pane="bottomLeft" sqref="A1:L1"/>
    </sheetView>
  </sheetViews>
  <sheetFormatPr defaultRowHeight="15" x14ac:dyDescent="0.25"/>
  <cols>
    <col min="1" max="1" width="12" customWidth="1"/>
    <col min="2" max="3" width="14" customWidth="1"/>
    <col min="4" max="4" width="20" customWidth="1"/>
    <col min="5" max="5" width="25" customWidth="1"/>
    <col min="6" max="6" width="16" customWidth="1"/>
    <col min="7" max="7" width="22" customWidth="1"/>
    <col min="8" max="9" width="14" customWidth="1"/>
    <col min="10" max="10" width="18" customWidth="1"/>
    <col min="11" max="11" width="10" customWidth="1"/>
    <col min="12" max="12" width="35" customWidth="1"/>
  </cols>
  <sheetData>
    <row r="1" spans="1:12" ht="27.95" customHeight="1" x14ac:dyDescent="0.25">
      <c r="A1" s="84" t="s">
        <v>687</v>
      </c>
      <c r="B1" s="81"/>
      <c r="C1" s="81"/>
      <c r="D1" s="81"/>
      <c r="E1" s="81"/>
      <c r="F1" s="81"/>
      <c r="G1" s="81"/>
      <c r="H1" s="81"/>
      <c r="I1" s="81"/>
      <c r="J1" s="81"/>
      <c r="K1" s="81"/>
      <c r="L1" s="81"/>
    </row>
    <row r="2" spans="1:12" ht="6" customHeight="1" x14ac:dyDescent="0.25"/>
    <row r="3" spans="1:12" ht="25.5" x14ac:dyDescent="0.25">
      <c r="A3" s="1" t="s">
        <v>688</v>
      </c>
      <c r="B3" s="1" t="s">
        <v>689</v>
      </c>
      <c r="C3" s="1" t="s">
        <v>690</v>
      </c>
      <c r="D3" s="1" t="s">
        <v>691</v>
      </c>
      <c r="E3" s="1" t="s">
        <v>692</v>
      </c>
      <c r="F3" s="1" t="s">
        <v>693</v>
      </c>
      <c r="G3" s="1" t="s">
        <v>694</v>
      </c>
      <c r="H3" s="1" t="s">
        <v>695</v>
      </c>
      <c r="I3" s="1" t="s">
        <v>696</v>
      </c>
      <c r="J3" s="1" t="s">
        <v>697</v>
      </c>
      <c r="K3" s="1" t="s">
        <v>35</v>
      </c>
      <c r="L3" s="1" t="s">
        <v>3</v>
      </c>
    </row>
    <row r="4" spans="1:12" x14ac:dyDescent="0.25">
      <c r="A4" s="3" t="s">
        <v>698</v>
      </c>
      <c r="B4" s="2" t="s">
        <v>699</v>
      </c>
      <c r="C4" s="2" t="s">
        <v>700</v>
      </c>
      <c r="D4" s="2"/>
      <c r="E4" s="2" t="s">
        <v>701</v>
      </c>
      <c r="F4" s="2" t="s">
        <v>702</v>
      </c>
      <c r="G4" s="2" t="s">
        <v>703</v>
      </c>
      <c r="H4" s="3" t="s">
        <v>704</v>
      </c>
      <c r="I4" s="36">
        <v>500000</v>
      </c>
      <c r="J4" s="36">
        <v>0</v>
      </c>
      <c r="K4" s="3" t="s">
        <v>41</v>
      </c>
      <c r="L4" s="2" t="s">
        <v>705</v>
      </c>
    </row>
    <row r="5" spans="1:12" x14ac:dyDescent="0.25">
      <c r="A5" s="5" t="s">
        <v>706</v>
      </c>
      <c r="B5" s="4" t="s">
        <v>707</v>
      </c>
      <c r="C5" s="4" t="s">
        <v>708</v>
      </c>
      <c r="D5" s="4"/>
      <c r="E5" s="4" t="s">
        <v>709</v>
      </c>
      <c r="F5" s="4" t="s">
        <v>710</v>
      </c>
      <c r="G5" s="4" t="s">
        <v>703</v>
      </c>
      <c r="H5" s="5" t="s">
        <v>711</v>
      </c>
      <c r="I5" s="35">
        <v>2000</v>
      </c>
      <c r="J5" s="35">
        <v>0</v>
      </c>
      <c r="K5" s="5" t="s">
        <v>41</v>
      </c>
      <c r="L5" s="4" t="s">
        <v>712</v>
      </c>
    </row>
  </sheetData>
  <mergeCells count="1">
    <mergeCell ref="A1:L1"/>
  </mergeCells>
  <dataValidations count="1">
    <dataValidation type="list" allowBlank="1" sqref="H4 H5 H6 H7 H8 H9 H10 H11 H12 H13 H14 H15 H16 H17 H18 H19 H20 H21 H22 H23 H24 H25 H26 H27 H28 H29 H30 H31 H32 H33 H34 H35 H36 H37 H38 H39 H40 H41 H42 H43 H44 H45 H46 H47 H48 H49">
      <formula1>"Buyer,Tenant,JV Partner,Investor,Lender"</formula1>
    </dataValidation>
  </dataValidation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600"/>
  </sheetPr>
  <dimension ref="A1:N4"/>
  <sheetViews>
    <sheetView workbookViewId="0">
      <pane ySplit="3" topLeftCell="A4" activePane="bottomLeft" state="frozen"/>
      <selection pane="bottomLeft" sqref="A1:N1"/>
    </sheetView>
  </sheetViews>
  <sheetFormatPr defaultRowHeight="15" x14ac:dyDescent="0.25"/>
  <cols>
    <col min="1" max="3" width="12" customWidth="1"/>
    <col min="4" max="4" width="22" customWidth="1"/>
    <col min="5" max="5" width="20" customWidth="1"/>
    <col min="6" max="6" width="35" customWidth="1"/>
    <col min="7" max="7" width="14" customWidth="1"/>
    <col min="8" max="8" width="10" customWidth="1"/>
    <col min="9" max="9" width="14" customWidth="1"/>
    <col min="10" max="12" width="12" customWidth="1"/>
    <col min="13" max="13" width="10" customWidth="1"/>
    <col min="14" max="14" width="28" customWidth="1"/>
  </cols>
  <sheetData>
    <row r="1" spans="1:14" ht="27.95" customHeight="1" x14ac:dyDescent="0.25">
      <c r="A1" s="84" t="s">
        <v>713</v>
      </c>
      <c r="B1" s="81"/>
      <c r="C1" s="81"/>
      <c r="D1" s="81"/>
      <c r="E1" s="81"/>
      <c r="F1" s="81"/>
      <c r="G1" s="81"/>
      <c r="H1" s="81"/>
      <c r="I1" s="81"/>
      <c r="J1" s="81"/>
      <c r="K1" s="81"/>
      <c r="L1" s="81"/>
      <c r="M1" s="81"/>
      <c r="N1" s="81"/>
    </row>
    <row r="2" spans="1:14" ht="6" customHeight="1" x14ac:dyDescent="0.25"/>
    <row r="3" spans="1:14" ht="25.5" x14ac:dyDescent="0.25">
      <c r="A3" s="1" t="s">
        <v>714</v>
      </c>
      <c r="B3" s="1" t="s">
        <v>460</v>
      </c>
      <c r="C3" s="1" t="s">
        <v>688</v>
      </c>
      <c r="D3" s="1" t="s">
        <v>715</v>
      </c>
      <c r="E3" s="1" t="s">
        <v>716</v>
      </c>
      <c r="F3" s="1" t="s">
        <v>102</v>
      </c>
      <c r="G3" s="1" t="s">
        <v>634</v>
      </c>
      <c r="H3" s="1" t="s">
        <v>717</v>
      </c>
      <c r="I3" s="1" t="s">
        <v>718</v>
      </c>
      <c r="J3" s="1" t="s">
        <v>719</v>
      </c>
      <c r="K3" s="1" t="s">
        <v>35</v>
      </c>
      <c r="L3" s="1" t="s">
        <v>636</v>
      </c>
      <c r="M3" s="1" t="s">
        <v>244</v>
      </c>
      <c r="N3" s="1" t="s">
        <v>3</v>
      </c>
    </row>
    <row r="4" spans="1:14" x14ac:dyDescent="0.25">
      <c r="A4" s="2" t="s">
        <v>487</v>
      </c>
      <c r="B4" s="2" t="s">
        <v>19</v>
      </c>
      <c r="C4" s="2" t="s">
        <v>698</v>
      </c>
      <c r="D4" s="2" t="s">
        <v>720</v>
      </c>
      <c r="E4" s="2"/>
      <c r="F4" s="2" t="s">
        <v>721</v>
      </c>
      <c r="G4" s="18">
        <v>15000</v>
      </c>
      <c r="H4" s="18">
        <v>0</v>
      </c>
      <c r="I4" s="36">
        <f>G4+H4</f>
        <v>15000</v>
      </c>
      <c r="J4" s="2" t="s">
        <v>722</v>
      </c>
      <c r="K4" s="2" t="s">
        <v>723</v>
      </c>
      <c r="L4" s="2">
        <v>4000</v>
      </c>
      <c r="M4" s="2" t="s">
        <v>279</v>
      </c>
      <c r="N4" s="2"/>
    </row>
  </sheetData>
  <mergeCells count="1">
    <mergeCell ref="A1:N1"/>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600"/>
  </sheetPr>
  <dimension ref="A1:K4"/>
  <sheetViews>
    <sheetView workbookViewId="0">
      <pane ySplit="3" topLeftCell="A4" activePane="bottomLeft" state="frozen"/>
      <selection pane="bottomLeft" sqref="A1:K1"/>
    </sheetView>
  </sheetViews>
  <sheetFormatPr defaultRowHeight="15" x14ac:dyDescent="0.25"/>
  <cols>
    <col min="1" max="1" width="10" customWidth="1"/>
    <col min="2" max="3" width="12" customWidth="1"/>
    <col min="4" max="4" width="22" customWidth="1"/>
    <col min="5" max="5" width="16" customWidth="1"/>
    <col min="6" max="8" width="14" customWidth="1"/>
    <col min="9" max="9" width="12" customWidth="1"/>
    <col min="10" max="10" width="18" customWidth="1"/>
    <col min="11" max="11" width="12" customWidth="1"/>
  </cols>
  <sheetData>
    <row r="1" spans="1:11" ht="27.95" customHeight="1" x14ac:dyDescent="0.25">
      <c r="A1" s="84" t="s">
        <v>724</v>
      </c>
      <c r="B1" s="81"/>
      <c r="C1" s="81"/>
      <c r="D1" s="81"/>
      <c r="E1" s="81"/>
      <c r="F1" s="81"/>
      <c r="G1" s="81"/>
      <c r="H1" s="81"/>
      <c r="I1" s="81"/>
      <c r="J1" s="81"/>
      <c r="K1" s="81"/>
    </row>
    <row r="2" spans="1:11" ht="6" customHeight="1" x14ac:dyDescent="0.25"/>
    <row r="3" spans="1:11" ht="25.5" x14ac:dyDescent="0.25">
      <c r="A3" s="1" t="s">
        <v>725</v>
      </c>
      <c r="B3" s="1" t="s">
        <v>714</v>
      </c>
      <c r="C3" s="1" t="s">
        <v>688</v>
      </c>
      <c r="D3" s="1" t="s">
        <v>715</v>
      </c>
      <c r="E3" s="1" t="s">
        <v>726</v>
      </c>
      <c r="F3" s="1" t="s">
        <v>727</v>
      </c>
      <c r="G3" s="1" t="s">
        <v>728</v>
      </c>
      <c r="H3" s="1" t="s">
        <v>729</v>
      </c>
      <c r="I3" s="1" t="s">
        <v>719</v>
      </c>
      <c r="J3" s="1" t="s">
        <v>730</v>
      </c>
      <c r="K3" s="1" t="s">
        <v>35</v>
      </c>
    </row>
    <row r="4" spans="1:11" x14ac:dyDescent="0.25">
      <c r="A4" s="2" t="s">
        <v>731</v>
      </c>
      <c r="B4" s="2" t="s">
        <v>487</v>
      </c>
      <c r="C4" s="2" t="s">
        <v>698</v>
      </c>
      <c r="D4" s="2" t="s">
        <v>720</v>
      </c>
      <c r="E4" s="18">
        <v>15000</v>
      </c>
      <c r="F4" s="18">
        <v>0</v>
      </c>
      <c r="G4" s="36">
        <f>E4-F4</f>
        <v>15000</v>
      </c>
      <c r="H4" s="2" t="s">
        <v>19</v>
      </c>
      <c r="I4" s="2" t="s">
        <v>722</v>
      </c>
      <c r="J4" s="2">
        <f ca="1">IF(K4="Paid",0,MAX(0,TODAY()-I4))</f>
        <v>0</v>
      </c>
      <c r="K4" s="2" t="s">
        <v>723</v>
      </c>
    </row>
  </sheetData>
  <mergeCells count="1">
    <mergeCell ref="A1:K1"/>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600"/>
  </sheetPr>
  <dimension ref="A1:G6"/>
  <sheetViews>
    <sheetView workbookViewId="0">
      <pane ySplit="3" topLeftCell="A4" activePane="bottomLeft" state="frozen"/>
      <selection pane="bottomLeft" sqref="A1:G1"/>
    </sheetView>
  </sheetViews>
  <sheetFormatPr defaultRowHeight="15" x14ac:dyDescent="0.25"/>
  <cols>
    <col min="1" max="1" width="28" customWidth="1"/>
    <col min="2" max="7" width="14" customWidth="1"/>
  </cols>
  <sheetData>
    <row r="1" spans="1:7" ht="27.95" customHeight="1" x14ac:dyDescent="0.25">
      <c r="A1" s="84" t="s">
        <v>732</v>
      </c>
      <c r="B1" s="81"/>
      <c r="C1" s="81"/>
      <c r="D1" s="81"/>
      <c r="E1" s="81"/>
      <c r="F1" s="81"/>
      <c r="G1" s="81"/>
    </row>
    <row r="2" spans="1:7" ht="6" customHeight="1" x14ac:dyDescent="0.25"/>
    <row r="3" spans="1:7" x14ac:dyDescent="0.25">
      <c r="A3" s="1" t="s">
        <v>715</v>
      </c>
      <c r="B3" s="1" t="s">
        <v>229</v>
      </c>
      <c r="C3" s="1" t="s">
        <v>733</v>
      </c>
      <c r="D3" s="1" t="s">
        <v>734</v>
      </c>
      <c r="E3" s="1" t="s">
        <v>735</v>
      </c>
      <c r="F3" s="1" t="s">
        <v>736</v>
      </c>
      <c r="G3" s="1" t="s">
        <v>718</v>
      </c>
    </row>
    <row r="4" spans="1:7" x14ac:dyDescent="0.25">
      <c r="A4" s="37" t="s">
        <v>720</v>
      </c>
      <c r="B4" s="18">
        <v>15000</v>
      </c>
      <c r="C4" s="18">
        <v>0</v>
      </c>
      <c r="D4" s="18">
        <v>0</v>
      </c>
      <c r="E4" s="18">
        <v>0</v>
      </c>
      <c r="F4" s="18">
        <v>0</v>
      </c>
      <c r="G4" s="36">
        <f>SUM(B4:F4)</f>
        <v>15000</v>
      </c>
    </row>
    <row r="6" spans="1:7" x14ac:dyDescent="0.25">
      <c r="A6" s="20" t="s">
        <v>511</v>
      </c>
      <c r="B6" s="53">
        <f t="shared" ref="B6:G6" si="0">SUM(B4:B5)</f>
        <v>15000</v>
      </c>
      <c r="C6" s="53">
        <f t="shared" si="0"/>
        <v>0</v>
      </c>
      <c r="D6" s="53">
        <f t="shared" si="0"/>
        <v>0</v>
      </c>
      <c r="E6" s="53">
        <f t="shared" si="0"/>
        <v>0</v>
      </c>
      <c r="F6" s="53">
        <f t="shared" si="0"/>
        <v>0</v>
      </c>
      <c r="G6" s="53">
        <f t="shared" si="0"/>
        <v>15000</v>
      </c>
    </row>
  </sheetData>
  <mergeCells count="1">
    <mergeCell ref="A1:G1"/>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600"/>
  </sheetPr>
  <dimension ref="A1:M6"/>
  <sheetViews>
    <sheetView workbookViewId="0">
      <pane ySplit="3" topLeftCell="A4" activePane="bottomLeft" state="frozen"/>
      <selection pane="bottomLeft" sqref="A1:M1"/>
    </sheetView>
  </sheetViews>
  <sheetFormatPr defaultRowHeight="15" x14ac:dyDescent="0.25"/>
  <cols>
    <col min="1" max="1" width="10" customWidth="1"/>
    <col min="2" max="2" width="24" customWidth="1"/>
    <col min="3" max="3" width="20" customWidth="1"/>
    <col min="4" max="4" width="25" customWidth="1"/>
    <col min="5" max="5" width="16" customWidth="1"/>
    <col min="6" max="6" width="20" customWidth="1"/>
    <col min="7" max="8" width="14" customWidth="1"/>
    <col min="9" max="9" width="12" customWidth="1"/>
    <col min="10" max="10" width="14" customWidth="1"/>
    <col min="11" max="11" width="18" customWidth="1"/>
    <col min="12" max="12" width="10" customWidth="1"/>
    <col min="13" max="13" width="35" customWidth="1"/>
  </cols>
  <sheetData>
    <row r="1" spans="1:13" ht="27.95" customHeight="1" x14ac:dyDescent="0.25">
      <c r="A1" s="84" t="s">
        <v>737</v>
      </c>
      <c r="B1" s="81"/>
      <c r="C1" s="81"/>
      <c r="D1" s="81"/>
      <c r="E1" s="81"/>
      <c r="F1" s="81"/>
      <c r="G1" s="81"/>
      <c r="H1" s="81"/>
      <c r="I1" s="81"/>
      <c r="J1" s="81"/>
      <c r="K1" s="81"/>
      <c r="L1" s="81"/>
      <c r="M1" s="81"/>
    </row>
    <row r="2" spans="1:13" ht="6" customHeight="1" x14ac:dyDescent="0.25"/>
    <row r="3" spans="1:13" ht="25.5" x14ac:dyDescent="0.25">
      <c r="A3" s="1" t="s">
        <v>738</v>
      </c>
      <c r="B3" s="1" t="s">
        <v>739</v>
      </c>
      <c r="C3" s="1" t="s">
        <v>740</v>
      </c>
      <c r="D3" s="1" t="s">
        <v>692</v>
      </c>
      <c r="E3" s="1" t="s">
        <v>693</v>
      </c>
      <c r="F3" s="1" t="s">
        <v>694</v>
      </c>
      <c r="G3" s="1" t="s">
        <v>741</v>
      </c>
      <c r="H3" s="1" t="s">
        <v>742</v>
      </c>
      <c r="I3" s="1" t="s">
        <v>743</v>
      </c>
      <c r="J3" s="1" t="s">
        <v>744</v>
      </c>
      <c r="K3" s="1" t="s">
        <v>697</v>
      </c>
      <c r="L3" s="1" t="s">
        <v>35</v>
      </c>
      <c r="M3" s="1" t="s">
        <v>3</v>
      </c>
    </row>
    <row r="4" spans="1:13" x14ac:dyDescent="0.25">
      <c r="A4" s="3" t="s">
        <v>745</v>
      </c>
      <c r="B4" s="2" t="s">
        <v>746</v>
      </c>
      <c r="C4" s="2" t="s">
        <v>747</v>
      </c>
      <c r="D4" s="2"/>
      <c r="E4" s="2" t="s">
        <v>748</v>
      </c>
      <c r="F4" s="2" t="s">
        <v>703</v>
      </c>
      <c r="G4" s="3" t="s">
        <v>749</v>
      </c>
      <c r="H4" s="2" t="s">
        <v>750</v>
      </c>
      <c r="I4" s="2" t="s">
        <v>250</v>
      </c>
      <c r="J4" s="2" t="s">
        <v>250</v>
      </c>
      <c r="K4" s="36">
        <v>8000</v>
      </c>
      <c r="L4" s="3" t="s">
        <v>41</v>
      </c>
      <c r="M4" s="2" t="s">
        <v>751</v>
      </c>
    </row>
    <row r="5" spans="1:13" x14ac:dyDescent="0.25">
      <c r="A5" s="5" t="s">
        <v>752</v>
      </c>
      <c r="B5" s="4" t="s">
        <v>680</v>
      </c>
      <c r="C5" s="4"/>
      <c r="D5" s="4" t="s">
        <v>753</v>
      </c>
      <c r="E5" s="4"/>
      <c r="F5" s="4"/>
      <c r="G5" s="5" t="s">
        <v>754</v>
      </c>
      <c r="H5" s="4" t="s">
        <v>755</v>
      </c>
      <c r="I5" s="4" t="s">
        <v>660</v>
      </c>
      <c r="J5" s="4" t="s">
        <v>660</v>
      </c>
      <c r="K5" s="35">
        <v>0</v>
      </c>
      <c r="L5" s="5" t="s">
        <v>41</v>
      </c>
      <c r="M5" s="4" t="s">
        <v>756</v>
      </c>
    </row>
    <row r="6" spans="1:13" x14ac:dyDescent="0.25">
      <c r="A6" s="3" t="s">
        <v>757</v>
      </c>
      <c r="B6" s="2" t="s">
        <v>684</v>
      </c>
      <c r="C6" s="2"/>
      <c r="D6" s="2"/>
      <c r="E6" s="2"/>
      <c r="F6" s="2"/>
      <c r="G6" s="3" t="s">
        <v>758</v>
      </c>
      <c r="H6" s="2" t="s">
        <v>759</v>
      </c>
      <c r="I6" s="2" t="s">
        <v>660</v>
      </c>
      <c r="J6" s="2" t="s">
        <v>660</v>
      </c>
      <c r="K6" s="36">
        <v>450</v>
      </c>
      <c r="L6" s="3" t="s">
        <v>41</v>
      </c>
      <c r="M6" s="2" t="s">
        <v>760</v>
      </c>
    </row>
  </sheetData>
  <mergeCells count="1">
    <mergeCell ref="A1:M1"/>
  </mergeCells>
  <dataValidations count="1">
    <dataValidation type="list" allowBlank="1" sqref="G4 G5 G6 G7 G8 G9 G10 G11 G12 G13 G14 G15 G16 G17 G18 G19 G20 G21 G22 G23 G24 G25 G26 G27 G28 G29 G30 G31 G32 G33 G34 G35 G36 G37 G38 G39 G40 G41 G42 G43 G44 G45 G46 G47 G48 G49">
      <formula1>"Contractor,Supplier,Professional,Lender,Utility,Insurance,Software"</formula1>
    </dataValidation>
  </dataValidation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600"/>
  </sheetPr>
  <dimension ref="A1:M6"/>
  <sheetViews>
    <sheetView workbookViewId="0">
      <pane ySplit="3" topLeftCell="A4" activePane="bottomLeft" state="frozen"/>
      <selection pane="bottomLeft" sqref="A1:M1"/>
    </sheetView>
  </sheetViews>
  <sheetFormatPr defaultRowHeight="15" x14ac:dyDescent="0.25"/>
  <cols>
    <col min="1" max="2" width="12" customWidth="1"/>
    <col min="3" max="3" width="10" customWidth="1"/>
    <col min="4" max="4" width="22" customWidth="1"/>
    <col min="5" max="5" width="35" customWidth="1"/>
    <col min="6" max="7" width="12" customWidth="1"/>
    <col min="8" max="8" width="10" customWidth="1"/>
    <col min="9" max="9" width="12" customWidth="1"/>
    <col min="10" max="10" width="14" customWidth="1"/>
    <col min="11" max="11" width="10" customWidth="1"/>
    <col min="12" max="12" width="14" customWidth="1"/>
    <col min="13" max="13" width="28" customWidth="1"/>
  </cols>
  <sheetData>
    <row r="1" spans="1:13" ht="27.95" customHeight="1" x14ac:dyDescent="0.25">
      <c r="A1" s="84" t="s">
        <v>761</v>
      </c>
      <c r="B1" s="81"/>
      <c r="C1" s="81"/>
      <c r="D1" s="81"/>
      <c r="E1" s="81"/>
      <c r="F1" s="81"/>
      <c r="G1" s="81"/>
      <c r="H1" s="81"/>
      <c r="I1" s="81"/>
      <c r="J1" s="81"/>
      <c r="K1" s="81"/>
      <c r="L1" s="81"/>
      <c r="M1" s="81"/>
    </row>
    <row r="2" spans="1:13" ht="6" customHeight="1" x14ac:dyDescent="0.25"/>
    <row r="3" spans="1:13" ht="25.5" x14ac:dyDescent="0.25">
      <c r="A3" s="1" t="s">
        <v>762</v>
      </c>
      <c r="B3" s="1" t="s">
        <v>460</v>
      </c>
      <c r="C3" s="1" t="s">
        <v>738</v>
      </c>
      <c r="D3" s="1" t="s">
        <v>739</v>
      </c>
      <c r="E3" s="1" t="s">
        <v>102</v>
      </c>
      <c r="F3" s="1" t="s">
        <v>634</v>
      </c>
      <c r="G3" s="1" t="s">
        <v>719</v>
      </c>
      <c r="H3" s="1" t="s">
        <v>35</v>
      </c>
      <c r="I3" s="1" t="s">
        <v>636</v>
      </c>
      <c r="J3" s="1" t="s">
        <v>716</v>
      </c>
      <c r="K3" s="1" t="s">
        <v>244</v>
      </c>
      <c r="L3" s="1" t="s">
        <v>763</v>
      </c>
      <c r="M3" s="1" t="s">
        <v>3</v>
      </c>
    </row>
    <row r="4" spans="1:13" x14ac:dyDescent="0.25">
      <c r="A4" s="2" t="s">
        <v>764</v>
      </c>
      <c r="B4" s="2" t="s">
        <v>490</v>
      </c>
      <c r="C4" s="2" t="s">
        <v>745</v>
      </c>
      <c r="D4" s="2" t="s">
        <v>746</v>
      </c>
      <c r="E4" s="2" t="s">
        <v>765</v>
      </c>
      <c r="F4" s="18">
        <v>8000</v>
      </c>
      <c r="G4" s="2" t="s">
        <v>766</v>
      </c>
      <c r="H4" s="2" t="s">
        <v>767</v>
      </c>
      <c r="I4" s="2">
        <v>5100</v>
      </c>
      <c r="J4" s="2" t="s">
        <v>70</v>
      </c>
      <c r="K4" s="2" t="s">
        <v>279</v>
      </c>
      <c r="L4" s="2" t="s">
        <v>768</v>
      </c>
      <c r="M4" s="2" t="s">
        <v>769</v>
      </c>
    </row>
    <row r="5" spans="1:13" x14ac:dyDescent="0.25">
      <c r="A5" s="4" t="s">
        <v>770</v>
      </c>
      <c r="B5" s="4" t="s">
        <v>495</v>
      </c>
      <c r="C5" s="4" t="s">
        <v>752</v>
      </c>
      <c r="D5" s="4" t="s">
        <v>680</v>
      </c>
      <c r="E5" s="4" t="s">
        <v>499</v>
      </c>
      <c r="F5" s="19">
        <v>299</v>
      </c>
      <c r="G5" s="4" t="s">
        <v>771</v>
      </c>
      <c r="H5" s="4" t="s">
        <v>772</v>
      </c>
      <c r="I5" s="4">
        <v>6120</v>
      </c>
      <c r="J5" s="4"/>
      <c r="K5" s="4" t="s">
        <v>279</v>
      </c>
      <c r="L5" s="4" t="s">
        <v>768</v>
      </c>
      <c r="M5" s="4"/>
    </row>
    <row r="6" spans="1:13" x14ac:dyDescent="0.25">
      <c r="A6" s="2" t="s">
        <v>773</v>
      </c>
      <c r="B6" s="2" t="s">
        <v>490</v>
      </c>
      <c r="C6" s="2" t="s">
        <v>757</v>
      </c>
      <c r="D6" s="2" t="s">
        <v>684</v>
      </c>
      <c r="E6" s="2" t="s">
        <v>686</v>
      </c>
      <c r="F6" s="18">
        <v>450</v>
      </c>
      <c r="G6" s="2" t="s">
        <v>490</v>
      </c>
      <c r="H6" s="2" t="s">
        <v>772</v>
      </c>
      <c r="I6" s="2">
        <v>5110</v>
      </c>
      <c r="J6" s="2" t="s">
        <v>70</v>
      </c>
      <c r="K6" s="2" t="s">
        <v>279</v>
      </c>
      <c r="L6" s="2" t="s">
        <v>768</v>
      </c>
      <c r="M6" s="2"/>
    </row>
  </sheetData>
  <mergeCells count="1">
    <mergeCell ref="A1:M1"/>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600"/>
  </sheetPr>
  <dimension ref="A1:K6"/>
  <sheetViews>
    <sheetView workbookViewId="0">
      <pane ySplit="3" topLeftCell="A4" activePane="bottomLeft" state="frozen"/>
      <selection pane="bottomLeft" sqref="A1:K1"/>
    </sheetView>
  </sheetViews>
  <sheetFormatPr defaultRowHeight="15" x14ac:dyDescent="0.25"/>
  <cols>
    <col min="1" max="1" width="10" customWidth="1"/>
    <col min="2" max="2" width="12" customWidth="1"/>
    <col min="3" max="3" width="10" customWidth="1"/>
    <col min="4" max="4" width="22" customWidth="1"/>
    <col min="5" max="5" width="16" customWidth="1"/>
    <col min="6" max="8" width="14" customWidth="1"/>
    <col min="9" max="9" width="12" customWidth="1"/>
    <col min="10" max="10" width="18" customWidth="1"/>
    <col min="11" max="11" width="10" customWidth="1"/>
  </cols>
  <sheetData>
    <row r="1" spans="1:11" ht="27.95" customHeight="1" x14ac:dyDescent="0.25">
      <c r="A1" s="84" t="s">
        <v>774</v>
      </c>
      <c r="B1" s="81"/>
      <c r="C1" s="81"/>
      <c r="D1" s="81"/>
      <c r="E1" s="81"/>
      <c r="F1" s="81"/>
      <c r="G1" s="81"/>
      <c r="H1" s="81"/>
      <c r="I1" s="81"/>
      <c r="J1" s="81"/>
      <c r="K1" s="81"/>
    </row>
    <row r="2" spans="1:11" ht="6" customHeight="1" x14ac:dyDescent="0.25"/>
    <row r="3" spans="1:11" ht="25.5" x14ac:dyDescent="0.25">
      <c r="A3" s="1" t="s">
        <v>775</v>
      </c>
      <c r="B3" s="1" t="s">
        <v>762</v>
      </c>
      <c r="C3" s="1" t="s">
        <v>738</v>
      </c>
      <c r="D3" s="1" t="s">
        <v>739</v>
      </c>
      <c r="E3" s="1" t="s">
        <v>726</v>
      </c>
      <c r="F3" s="1" t="s">
        <v>727</v>
      </c>
      <c r="G3" s="1" t="s">
        <v>728</v>
      </c>
      <c r="H3" s="1" t="s">
        <v>776</v>
      </c>
      <c r="I3" s="1" t="s">
        <v>719</v>
      </c>
      <c r="J3" s="1" t="s">
        <v>730</v>
      </c>
      <c r="K3" s="1" t="s">
        <v>35</v>
      </c>
    </row>
    <row r="4" spans="1:11" x14ac:dyDescent="0.25">
      <c r="A4" s="2" t="s">
        <v>777</v>
      </c>
      <c r="B4" s="2" t="s">
        <v>764</v>
      </c>
      <c r="C4" s="2" t="s">
        <v>745</v>
      </c>
      <c r="D4" s="2" t="s">
        <v>746</v>
      </c>
      <c r="E4" s="18">
        <v>8000</v>
      </c>
      <c r="F4" s="18">
        <v>0</v>
      </c>
      <c r="G4" s="36">
        <f>E4-F4</f>
        <v>8000</v>
      </c>
      <c r="H4" s="2" t="s">
        <v>490</v>
      </c>
      <c r="I4" s="2" t="s">
        <v>766</v>
      </c>
      <c r="J4" s="2">
        <f ca="1">IF(K4="Paid",0,MAX(0,TODAY()-I4))</f>
        <v>0</v>
      </c>
      <c r="K4" s="2" t="s">
        <v>767</v>
      </c>
    </row>
    <row r="5" spans="1:11" x14ac:dyDescent="0.25">
      <c r="A5" s="4" t="s">
        <v>778</v>
      </c>
      <c r="B5" s="4" t="s">
        <v>770</v>
      </c>
      <c r="C5" s="4" t="s">
        <v>752</v>
      </c>
      <c r="D5" s="4" t="s">
        <v>680</v>
      </c>
      <c r="E5" s="19">
        <v>299</v>
      </c>
      <c r="F5" s="19">
        <v>299</v>
      </c>
      <c r="G5" s="35">
        <f>E5-F5</f>
        <v>0</v>
      </c>
      <c r="H5" s="4" t="s">
        <v>495</v>
      </c>
      <c r="I5" s="4" t="s">
        <v>771</v>
      </c>
      <c r="J5" s="4">
        <v>0</v>
      </c>
      <c r="K5" s="4" t="s">
        <v>772</v>
      </c>
    </row>
    <row r="6" spans="1:11" x14ac:dyDescent="0.25">
      <c r="A6" s="2" t="s">
        <v>779</v>
      </c>
      <c r="B6" s="2" t="s">
        <v>773</v>
      </c>
      <c r="C6" s="2" t="s">
        <v>757</v>
      </c>
      <c r="D6" s="2" t="s">
        <v>684</v>
      </c>
      <c r="E6" s="18">
        <v>450</v>
      </c>
      <c r="F6" s="18">
        <v>450</v>
      </c>
      <c r="G6" s="36">
        <f>E6-F6</f>
        <v>0</v>
      </c>
      <c r="H6" s="2" t="s">
        <v>490</v>
      </c>
      <c r="I6" s="2" t="s">
        <v>490</v>
      </c>
      <c r="J6" s="2">
        <v>0</v>
      </c>
      <c r="K6" s="2" t="s">
        <v>772</v>
      </c>
    </row>
  </sheetData>
  <mergeCells count="1">
    <mergeCell ref="A1:K1"/>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600"/>
  </sheetPr>
  <dimension ref="A1:G8"/>
  <sheetViews>
    <sheetView workbookViewId="0">
      <pane ySplit="3" topLeftCell="A4" activePane="bottomLeft" state="frozen"/>
      <selection pane="bottomLeft" sqref="A1:G1"/>
    </sheetView>
  </sheetViews>
  <sheetFormatPr defaultRowHeight="15" x14ac:dyDescent="0.25"/>
  <cols>
    <col min="1" max="1" width="28" customWidth="1"/>
    <col min="2" max="7" width="14" customWidth="1"/>
  </cols>
  <sheetData>
    <row r="1" spans="1:7" ht="27.95" customHeight="1" x14ac:dyDescent="0.25">
      <c r="A1" s="84" t="s">
        <v>780</v>
      </c>
      <c r="B1" s="81"/>
      <c r="C1" s="81"/>
      <c r="D1" s="81"/>
      <c r="E1" s="81"/>
      <c r="F1" s="81"/>
      <c r="G1" s="81"/>
    </row>
    <row r="2" spans="1:7" ht="6" customHeight="1" x14ac:dyDescent="0.25"/>
    <row r="3" spans="1:7" x14ac:dyDescent="0.25">
      <c r="A3" s="1" t="s">
        <v>739</v>
      </c>
      <c r="B3" s="1" t="s">
        <v>229</v>
      </c>
      <c r="C3" s="1" t="s">
        <v>733</v>
      </c>
      <c r="D3" s="1" t="s">
        <v>734</v>
      </c>
      <c r="E3" s="1" t="s">
        <v>735</v>
      </c>
      <c r="F3" s="1" t="s">
        <v>736</v>
      </c>
      <c r="G3" s="1" t="s">
        <v>718</v>
      </c>
    </row>
    <row r="4" spans="1:7" x14ac:dyDescent="0.25">
      <c r="A4" s="37" t="s">
        <v>746</v>
      </c>
      <c r="B4" s="18">
        <v>8000</v>
      </c>
      <c r="C4" s="18">
        <v>0</v>
      </c>
      <c r="D4" s="18">
        <v>0</v>
      </c>
      <c r="E4" s="18">
        <v>0</v>
      </c>
      <c r="F4" s="18">
        <v>0</v>
      </c>
      <c r="G4" s="36">
        <f>SUM(B4:F4)</f>
        <v>8000</v>
      </c>
    </row>
    <row r="5" spans="1:7" x14ac:dyDescent="0.25">
      <c r="A5" s="37" t="s">
        <v>680</v>
      </c>
      <c r="B5" s="19">
        <v>0</v>
      </c>
      <c r="C5" s="19">
        <v>0</v>
      </c>
      <c r="D5" s="19">
        <v>0</v>
      </c>
      <c r="E5" s="19">
        <v>0</v>
      </c>
      <c r="F5" s="19">
        <v>0</v>
      </c>
      <c r="G5" s="35">
        <f>SUM(B5:F5)</f>
        <v>0</v>
      </c>
    </row>
    <row r="6" spans="1:7" x14ac:dyDescent="0.25">
      <c r="A6" s="37" t="s">
        <v>684</v>
      </c>
      <c r="B6" s="18">
        <v>0</v>
      </c>
      <c r="C6" s="18">
        <v>0</v>
      </c>
      <c r="D6" s="18">
        <v>0</v>
      </c>
      <c r="E6" s="18">
        <v>0</v>
      </c>
      <c r="F6" s="18">
        <v>0</v>
      </c>
      <c r="G6" s="36">
        <f>SUM(B6:F6)</f>
        <v>0</v>
      </c>
    </row>
    <row r="8" spans="1:7" x14ac:dyDescent="0.25">
      <c r="A8" s="25" t="s">
        <v>511</v>
      </c>
      <c r="B8" s="53">
        <f t="shared" ref="B8:G8" si="0">SUM(B4:B7)</f>
        <v>8000</v>
      </c>
      <c r="C8" s="53">
        <f t="shared" si="0"/>
        <v>0</v>
      </c>
      <c r="D8" s="53">
        <f t="shared" si="0"/>
        <v>0</v>
      </c>
      <c r="E8" s="53">
        <f t="shared" si="0"/>
        <v>0</v>
      </c>
      <c r="F8" s="53">
        <f t="shared" si="0"/>
        <v>0</v>
      </c>
      <c r="G8" s="53">
        <f t="shared" si="0"/>
        <v>8000</v>
      </c>
    </row>
  </sheetData>
  <mergeCells count="1">
    <mergeCell ref="A1:G1"/>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E7D32"/>
  </sheetPr>
  <dimension ref="A1:Y5"/>
  <sheetViews>
    <sheetView workbookViewId="0">
      <pane ySplit="3" topLeftCell="A4" activePane="bottomLeft" state="frozen"/>
      <selection pane="bottomLeft" sqref="A1:Y1"/>
    </sheetView>
  </sheetViews>
  <sheetFormatPr defaultRowHeight="15" x14ac:dyDescent="0.25"/>
  <cols>
    <col min="1" max="1" width="12" customWidth="1"/>
    <col min="2" max="2" width="22" customWidth="1"/>
    <col min="3" max="3" width="14" customWidth="1"/>
    <col min="4" max="4" width="6" customWidth="1"/>
    <col min="5" max="5" width="8" customWidth="1"/>
    <col min="6" max="6" width="16" customWidth="1"/>
    <col min="7" max="7" width="18" customWidth="1"/>
    <col min="8" max="8" width="14" customWidth="1"/>
    <col min="9" max="9" width="16" customWidth="1"/>
    <col min="10" max="10" width="14" customWidth="1"/>
    <col min="11" max="11" width="16" customWidth="1"/>
    <col min="12" max="12" width="14" customWidth="1"/>
    <col min="13" max="13" width="16" customWidth="1"/>
    <col min="14" max="15" width="14" customWidth="1"/>
    <col min="16" max="16" width="16" customWidth="1"/>
    <col min="17" max="17" width="14" customWidth="1"/>
    <col min="18" max="18" width="10" customWidth="1"/>
    <col min="19" max="19" width="16" customWidth="1"/>
    <col min="20" max="21" width="14" customWidth="1"/>
    <col min="22" max="23" width="10" customWidth="1"/>
    <col min="24" max="25" width="14" customWidth="1"/>
  </cols>
  <sheetData>
    <row r="1" spans="1:25" ht="27.95" customHeight="1" x14ac:dyDescent="0.25">
      <c r="A1" s="84" t="s">
        <v>781</v>
      </c>
      <c r="B1" s="81"/>
      <c r="C1" s="81"/>
      <c r="D1" s="81"/>
      <c r="E1" s="81"/>
      <c r="F1" s="81"/>
      <c r="G1" s="81"/>
      <c r="H1" s="81"/>
      <c r="I1" s="81"/>
      <c r="J1" s="81"/>
      <c r="K1" s="81"/>
      <c r="L1" s="81"/>
      <c r="M1" s="81"/>
      <c r="N1" s="81"/>
      <c r="O1" s="81"/>
      <c r="P1" s="81"/>
      <c r="Q1" s="81"/>
      <c r="R1" s="81"/>
      <c r="S1" s="81"/>
      <c r="T1" s="81"/>
      <c r="U1" s="81"/>
      <c r="V1" s="81"/>
      <c r="W1" s="81"/>
      <c r="X1" s="81"/>
      <c r="Y1" s="81"/>
    </row>
    <row r="2" spans="1:25" ht="6" customHeight="1" x14ac:dyDescent="0.25"/>
    <row r="3" spans="1:25" ht="25.5" x14ac:dyDescent="0.25">
      <c r="A3" s="1" t="s">
        <v>782</v>
      </c>
      <c r="B3" s="1" t="s">
        <v>694</v>
      </c>
      <c r="C3" s="1" t="s">
        <v>783</v>
      </c>
      <c r="D3" s="1" t="s">
        <v>24</v>
      </c>
      <c r="E3" s="1" t="s">
        <v>784</v>
      </c>
      <c r="F3" s="1" t="s">
        <v>785</v>
      </c>
      <c r="G3" s="1" t="s">
        <v>35</v>
      </c>
      <c r="H3" s="1" t="s">
        <v>786</v>
      </c>
      <c r="I3" s="1" t="s">
        <v>787</v>
      </c>
      <c r="J3" s="1" t="s">
        <v>788</v>
      </c>
      <c r="K3" s="1" t="s">
        <v>789</v>
      </c>
      <c r="L3" s="1" t="s">
        <v>790</v>
      </c>
      <c r="M3" s="1" t="s">
        <v>791</v>
      </c>
      <c r="N3" s="1" t="s">
        <v>792</v>
      </c>
      <c r="O3" s="1" t="s">
        <v>793</v>
      </c>
      <c r="P3" s="1" t="s">
        <v>794</v>
      </c>
      <c r="Q3" s="1" t="s">
        <v>795</v>
      </c>
      <c r="R3" s="1" t="s">
        <v>796</v>
      </c>
      <c r="S3" s="1" t="s">
        <v>797</v>
      </c>
      <c r="T3" s="1" t="s">
        <v>798</v>
      </c>
      <c r="U3" s="1" t="s">
        <v>799</v>
      </c>
      <c r="V3" s="1" t="s">
        <v>800</v>
      </c>
      <c r="W3" s="1" t="s">
        <v>801</v>
      </c>
      <c r="X3" s="1" t="s">
        <v>338</v>
      </c>
      <c r="Y3" s="1" t="s">
        <v>802</v>
      </c>
    </row>
    <row r="4" spans="1:25" x14ac:dyDescent="0.25">
      <c r="A4" s="3" t="s">
        <v>803</v>
      </c>
      <c r="B4" s="3" t="s">
        <v>70</v>
      </c>
      <c r="C4" s="3" t="s">
        <v>804</v>
      </c>
      <c r="D4" s="3" t="s">
        <v>805</v>
      </c>
      <c r="E4" s="3" t="s">
        <v>806</v>
      </c>
      <c r="F4" s="3" t="s">
        <v>807</v>
      </c>
      <c r="G4" s="3" t="s">
        <v>808</v>
      </c>
      <c r="H4" s="3" t="s">
        <v>470</v>
      </c>
      <c r="I4" s="18">
        <v>114000</v>
      </c>
      <c r="J4" s="18">
        <v>16100</v>
      </c>
      <c r="K4" s="18">
        <v>97900</v>
      </c>
      <c r="L4" s="18">
        <v>4500</v>
      </c>
      <c r="M4" s="18">
        <v>200000</v>
      </c>
      <c r="N4" s="18">
        <v>90000</v>
      </c>
      <c r="O4" s="18">
        <v>11500</v>
      </c>
      <c r="P4" s="36">
        <f>N4-O4</f>
        <v>78500</v>
      </c>
      <c r="Q4" s="18">
        <v>114000</v>
      </c>
      <c r="R4" s="3" t="s">
        <v>809</v>
      </c>
      <c r="S4" s="18">
        <v>750</v>
      </c>
      <c r="T4" s="18">
        <v>0</v>
      </c>
      <c r="U4" s="36">
        <f>IF(T4&gt;0,T4*0.65*12,0)</f>
        <v>0</v>
      </c>
      <c r="V4" s="54">
        <f>IF(S4*12&gt;0,U4/(S4*12),0)</f>
        <v>0</v>
      </c>
      <c r="W4" s="44">
        <f>IF(M4&gt;0,U4/M4,0)</f>
        <v>0</v>
      </c>
      <c r="X4" s="36">
        <f>M4-Q4</f>
        <v>86000</v>
      </c>
      <c r="Y4" s="3" t="s">
        <v>810</v>
      </c>
    </row>
    <row r="5" spans="1:25" x14ac:dyDescent="0.25">
      <c r="A5" s="55" t="s">
        <v>811</v>
      </c>
      <c r="B5" s="88" t="s">
        <v>812</v>
      </c>
      <c r="C5" s="89"/>
      <c r="D5" s="89"/>
      <c r="E5" s="89"/>
      <c r="F5" s="89"/>
      <c r="G5" s="89"/>
      <c r="H5" s="89"/>
      <c r="I5" s="89"/>
      <c r="J5" s="89"/>
      <c r="K5" s="89"/>
      <c r="L5" s="89"/>
      <c r="M5" s="89"/>
      <c r="N5" s="89"/>
      <c r="O5" s="89"/>
      <c r="P5" s="89"/>
      <c r="Q5" s="89"/>
      <c r="R5" s="89"/>
      <c r="S5" s="89"/>
      <c r="T5" s="89"/>
      <c r="U5" s="89"/>
      <c r="V5" s="89"/>
      <c r="W5" s="89"/>
      <c r="X5" s="89"/>
      <c r="Y5" s="90"/>
    </row>
  </sheetData>
  <mergeCells count="2">
    <mergeCell ref="B5:Y5"/>
    <mergeCell ref="A1:Y1"/>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E7D32"/>
  </sheetPr>
  <dimension ref="A1:R4"/>
  <sheetViews>
    <sheetView workbookViewId="0">
      <pane ySplit="3" topLeftCell="A4" activePane="bottomLeft" state="frozen"/>
      <selection pane="bottomLeft" sqref="A1:R1"/>
    </sheetView>
  </sheetViews>
  <sheetFormatPr defaultRowHeight="15" x14ac:dyDescent="0.25"/>
  <cols>
    <col min="1" max="1" width="10" customWidth="1"/>
    <col min="2" max="2" width="16" customWidth="1"/>
    <col min="3" max="3" width="32" customWidth="1"/>
    <col min="4" max="4" width="14" customWidth="1"/>
    <col min="5" max="5" width="12" customWidth="1"/>
    <col min="6" max="6" width="14" customWidth="1"/>
    <col min="7" max="8" width="16" customWidth="1"/>
    <col min="9" max="13" width="14" customWidth="1"/>
    <col min="14" max="14" width="10" customWidth="1"/>
    <col min="15" max="15" width="12" customWidth="1"/>
    <col min="16" max="16" width="10" customWidth="1"/>
    <col min="17" max="17" width="45" customWidth="1"/>
  </cols>
  <sheetData>
    <row r="1" spans="1:18" ht="27.95" customHeight="1" x14ac:dyDescent="0.25">
      <c r="A1" s="84" t="s">
        <v>813</v>
      </c>
      <c r="B1" s="81"/>
      <c r="C1" s="81"/>
      <c r="D1" s="81"/>
      <c r="E1" s="81"/>
      <c r="F1" s="81"/>
      <c r="G1" s="81"/>
      <c r="H1" s="81"/>
      <c r="I1" s="81"/>
      <c r="J1" s="81"/>
      <c r="K1" s="81"/>
      <c r="L1" s="81"/>
      <c r="M1" s="81"/>
      <c r="N1" s="81"/>
      <c r="O1" s="81"/>
      <c r="P1" s="81"/>
      <c r="Q1" s="81"/>
      <c r="R1" s="81"/>
    </row>
    <row r="2" spans="1:18" ht="6" customHeight="1" x14ac:dyDescent="0.25"/>
    <row r="3" spans="1:18" ht="25.5" x14ac:dyDescent="0.25">
      <c r="A3" s="1" t="s">
        <v>814</v>
      </c>
      <c r="B3" s="1" t="s">
        <v>716</v>
      </c>
      <c r="C3" s="1" t="s">
        <v>694</v>
      </c>
      <c r="D3" s="1" t="s">
        <v>815</v>
      </c>
      <c r="E3" s="1" t="s">
        <v>816</v>
      </c>
      <c r="F3" s="1" t="s">
        <v>817</v>
      </c>
      <c r="G3" s="1" t="s">
        <v>787</v>
      </c>
      <c r="H3" s="1" t="s">
        <v>791</v>
      </c>
      <c r="I3" s="1" t="s">
        <v>818</v>
      </c>
      <c r="J3" s="1" t="s">
        <v>819</v>
      </c>
      <c r="K3" s="1" t="s">
        <v>820</v>
      </c>
      <c r="L3" s="1" t="s">
        <v>821</v>
      </c>
      <c r="M3" s="1" t="s">
        <v>822</v>
      </c>
      <c r="N3" s="1" t="s">
        <v>244</v>
      </c>
      <c r="O3" s="1" t="s">
        <v>823</v>
      </c>
      <c r="P3" s="1" t="s">
        <v>35</v>
      </c>
      <c r="Q3" s="1" t="s">
        <v>3</v>
      </c>
    </row>
    <row r="4" spans="1:18" x14ac:dyDescent="0.25">
      <c r="A4" s="3" t="s">
        <v>824</v>
      </c>
      <c r="B4" s="3" t="s">
        <v>70</v>
      </c>
      <c r="C4" s="3" t="s">
        <v>825</v>
      </c>
      <c r="D4" s="3" t="s">
        <v>826</v>
      </c>
      <c r="E4" s="3" t="s">
        <v>827</v>
      </c>
      <c r="F4" s="3" t="s">
        <v>828</v>
      </c>
      <c r="G4" s="18">
        <v>114000</v>
      </c>
      <c r="H4" s="18">
        <v>200000</v>
      </c>
      <c r="I4" s="18">
        <v>90000</v>
      </c>
      <c r="J4" s="36">
        <f>H4*0.7-I4</f>
        <v>50000</v>
      </c>
      <c r="K4" s="36">
        <f>J4-G4</f>
        <v>-64000</v>
      </c>
      <c r="L4" s="3" t="s">
        <v>250</v>
      </c>
      <c r="M4" s="3" t="s">
        <v>470</v>
      </c>
      <c r="N4" s="3" t="s">
        <v>279</v>
      </c>
      <c r="O4" s="3" t="s">
        <v>810</v>
      </c>
      <c r="P4" s="3" t="s">
        <v>829</v>
      </c>
      <c r="Q4" s="3" t="s">
        <v>830</v>
      </c>
    </row>
  </sheetData>
  <mergeCells count="1">
    <mergeCell ref="A1:R1"/>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E7D32"/>
  </sheetPr>
  <dimension ref="A1:L36"/>
  <sheetViews>
    <sheetView workbookViewId="0">
      <pane ySplit="3" topLeftCell="A4" activePane="bottomLeft" state="frozen"/>
      <selection pane="bottomLeft" sqref="A1:L1"/>
    </sheetView>
  </sheetViews>
  <sheetFormatPr defaultRowHeight="15" x14ac:dyDescent="0.25"/>
  <cols>
    <col min="1" max="1" width="10" customWidth="1"/>
    <col min="2" max="2" width="22" customWidth="1"/>
    <col min="3" max="3" width="38" customWidth="1"/>
    <col min="4" max="6" width="14" customWidth="1"/>
    <col min="7" max="7" width="12" customWidth="1"/>
    <col min="8" max="8" width="14" customWidth="1"/>
    <col min="9" max="9" width="16" customWidth="1"/>
    <col min="10" max="11" width="14" customWidth="1"/>
    <col min="12" max="12" width="32" customWidth="1"/>
  </cols>
  <sheetData>
    <row r="1" spans="1:12" ht="27.95" customHeight="1" x14ac:dyDescent="0.25">
      <c r="A1" s="92" t="s">
        <v>831</v>
      </c>
      <c r="B1" s="81"/>
      <c r="C1" s="81"/>
      <c r="D1" s="81"/>
      <c r="E1" s="81"/>
      <c r="F1" s="81"/>
      <c r="G1" s="81"/>
      <c r="H1" s="81"/>
      <c r="I1" s="81"/>
      <c r="J1" s="81"/>
      <c r="K1" s="81"/>
      <c r="L1" s="81"/>
    </row>
    <row r="2" spans="1:12" ht="6" customHeight="1" x14ac:dyDescent="0.25"/>
    <row r="3" spans="1:12" ht="25.5" x14ac:dyDescent="0.25">
      <c r="A3" s="1" t="s">
        <v>832</v>
      </c>
      <c r="B3" s="1" t="s">
        <v>594</v>
      </c>
      <c r="C3" s="1" t="s">
        <v>833</v>
      </c>
      <c r="D3" s="1" t="s">
        <v>834</v>
      </c>
      <c r="E3" s="1" t="s">
        <v>835</v>
      </c>
      <c r="F3" s="1" t="s">
        <v>613</v>
      </c>
      <c r="G3" s="1" t="s">
        <v>836</v>
      </c>
      <c r="H3" s="1" t="s">
        <v>35</v>
      </c>
      <c r="I3" s="1" t="s">
        <v>749</v>
      </c>
      <c r="J3" s="1" t="s">
        <v>837</v>
      </c>
      <c r="K3" s="1" t="s">
        <v>838</v>
      </c>
      <c r="L3" s="1" t="s">
        <v>3</v>
      </c>
    </row>
    <row r="4" spans="1:12" x14ac:dyDescent="0.25">
      <c r="A4" s="2" t="s">
        <v>839</v>
      </c>
      <c r="B4" s="56" t="s">
        <v>840</v>
      </c>
      <c r="C4" s="2" t="s">
        <v>841</v>
      </c>
      <c r="D4" s="18">
        <v>5000</v>
      </c>
      <c r="E4" s="18">
        <v>3500</v>
      </c>
      <c r="F4" s="36">
        <f t="shared" ref="F4:F33" si="0">D4-E4</f>
        <v>1500</v>
      </c>
      <c r="G4" s="57">
        <v>70</v>
      </c>
      <c r="H4" s="2" t="s">
        <v>842</v>
      </c>
      <c r="I4" s="2" t="s">
        <v>747</v>
      </c>
      <c r="J4" s="2" t="s">
        <v>843</v>
      </c>
      <c r="K4" s="2" t="s">
        <v>844</v>
      </c>
      <c r="L4" s="2" t="s">
        <v>845</v>
      </c>
    </row>
    <row r="5" spans="1:12" x14ac:dyDescent="0.25">
      <c r="A5" s="4" t="s">
        <v>846</v>
      </c>
      <c r="B5" s="55" t="s">
        <v>847</v>
      </c>
      <c r="C5" s="4" t="s">
        <v>848</v>
      </c>
      <c r="D5" s="19">
        <v>12000</v>
      </c>
      <c r="E5" s="19">
        <v>0</v>
      </c>
      <c r="F5" s="35">
        <f t="shared" si="0"/>
        <v>12000</v>
      </c>
      <c r="G5" s="58">
        <v>0</v>
      </c>
      <c r="H5" s="4" t="s">
        <v>723</v>
      </c>
      <c r="I5" s="4" t="s">
        <v>747</v>
      </c>
      <c r="J5" s="4"/>
      <c r="K5" s="4"/>
      <c r="L5" s="4" t="s">
        <v>849</v>
      </c>
    </row>
    <row r="6" spans="1:12" x14ac:dyDescent="0.25">
      <c r="A6" s="2" t="s">
        <v>850</v>
      </c>
      <c r="B6" s="56" t="s">
        <v>851</v>
      </c>
      <c r="C6" s="2" t="s">
        <v>852</v>
      </c>
      <c r="D6" s="18">
        <v>20000</v>
      </c>
      <c r="E6" s="18">
        <v>0</v>
      </c>
      <c r="F6" s="36">
        <f t="shared" si="0"/>
        <v>20000</v>
      </c>
      <c r="G6" s="57">
        <v>0</v>
      </c>
      <c r="H6" s="2" t="s">
        <v>723</v>
      </c>
      <c r="I6" s="2" t="s">
        <v>747</v>
      </c>
      <c r="J6" s="2"/>
      <c r="K6" s="2"/>
      <c r="L6" s="2" t="s">
        <v>853</v>
      </c>
    </row>
    <row r="7" spans="1:12" x14ac:dyDescent="0.25">
      <c r="A7" s="4" t="s">
        <v>854</v>
      </c>
      <c r="B7" s="55" t="s">
        <v>855</v>
      </c>
      <c r="C7" s="4" t="s">
        <v>856</v>
      </c>
      <c r="D7" s="19">
        <v>8000</v>
      </c>
      <c r="E7" s="19">
        <v>0</v>
      </c>
      <c r="F7" s="35">
        <f t="shared" si="0"/>
        <v>8000</v>
      </c>
      <c r="G7" s="58">
        <v>0</v>
      </c>
      <c r="H7" s="4" t="s">
        <v>723</v>
      </c>
      <c r="I7" s="4" t="s">
        <v>747</v>
      </c>
      <c r="J7" s="4"/>
      <c r="K7" s="4"/>
      <c r="L7" s="4"/>
    </row>
    <row r="8" spans="1:12" x14ac:dyDescent="0.25">
      <c r="A8" s="2" t="s">
        <v>857</v>
      </c>
      <c r="B8" s="56" t="s">
        <v>858</v>
      </c>
      <c r="C8" s="2" t="s">
        <v>859</v>
      </c>
      <c r="D8" s="18">
        <v>6000</v>
      </c>
      <c r="E8" s="18">
        <v>0</v>
      </c>
      <c r="F8" s="36">
        <f t="shared" si="0"/>
        <v>6000</v>
      </c>
      <c r="G8" s="57">
        <v>0</v>
      </c>
      <c r="H8" s="2" t="s">
        <v>723</v>
      </c>
      <c r="I8" s="2" t="s">
        <v>747</v>
      </c>
      <c r="J8" s="2"/>
      <c r="K8" s="2"/>
      <c r="L8" s="2"/>
    </row>
    <row r="9" spans="1:12" x14ac:dyDescent="0.25">
      <c r="A9" s="4" t="s">
        <v>860</v>
      </c>
      <c r="B9" s="55" t="s">
        <v>861</v>
      </c>
      <c r="C9" s="4" t="s">
        <v>862</v>
      </c>
      <c r="D9" s="19">
        <v>4000</v>
      </c>
      <c r="E9" s="19">
        <v>0</v>
      </c>
      <c r="F9" s="35">
        <f t="shared" si="0"/>
        <v>4000</v>
      </c>
      <c r="G9" s="58">
        <v>0</v>
      </c>
      <c r="H9" s="4" t="s">
        <v>723</v>
      </c>
      <c r="I9" s="4" t="s">
        <v>747</v>
      </c>
      <c r="J9" s="4"/>
      <c r="K9" s="4"/>
      <c r="L9" s="4"/>
    </row>
    <row r="10" spans="1:12" x14ac:dyDescent="0.25">
      <c r="A10" s="2" t="s">
        <v>863</v>
      </c>
      <c r="B10" s="56" t="s">
        <v>864</v>
      </c>
      <c r="C10" s="2" t="s">
        <v>865</v>
      </c>
      <c r="D10" s="18">
        <v>5000</v>
      </c>
      <c r="E10" s="18">
        <v>0</v>
      </c>
      <c r="F10" s="36">
        <f t="shared" si="0"/>
        <v>5000</v>
      </c>
      <c r="G10" s="57">
        <v>0</v>
      </c>
      <c r="H10" s="2" t="s">
        <v>723</v>
      </c>
      <c r="I10" s="2" t="s">
        <v>747</v>
      </c>
      <c r="J10" s="2"/>
      <c r="K10" s="2"/>
      <c r="L10" s="2"/>
    </row>
    <row r="11" spans="1:12" x14ac:dyDescent="0.25">
      <c r="A11" s="4" t="s">
        <v>866</v>
      </c>
      <c r="B11" s="55" t="s">
        <v>867</v>
      </c>
      <c r="C11" s="4" t="s">
        <v>868</v>
      </c>
      <c r="D11" s="19">
        <v>8000</v>
      </c>
      <c r="E11" s="19">
        <v>0</v>
      </c>
      <c r="F11" s="35">
        <f t="shared" si="0"/>
        <v>8000</v>
      </c>
      <c r="G11" s="58">
        <v>0</v>
      </c>
      <c r="H11" s="4" t="s">
        <v>723</v>
      </c>
      <c r="I11" s="4" t="s">
        <v>747</v>
      </c>
      <c r="J11" s="4"/>
      <c r="K11" s="4"/>
      <c r="L11" s="4"/>
    </row>
    <row r="12" spans="1:12" x14ac:dyDescent="0.25">
      <c r="A12" s="2" t="s">
        <v>869</v>
      </c>
      <c r="B12" s="56" t="s">
        <v>870</v>
      </c>
      <c r="C12" s="2" t="s">
        <v>871</v>
      </c>
      <c r="D12" s="18">
        <v>6000</v>
      </c>
      <c r="E12" s="18">
        <v>0</v>
      </c>
      <c r="F12" s="36">
        <f t="shared" si="0"/>
        <v>6000</v>
      </c>
      <c r="G12" s="57">
        <v>0</v>
      </c>
      <c r="H12" s="2" t="s">
        <v>723</v>
      </c>
      <c r="I12" s="2" t="s">
        <v>747</v>
      </c>
      <c r="J12" s="2"/>
      <c r="K12" s="2"/>
      <c r="L12" s="2"/>
    </row>
    <row r="13" spans="1:12" x14ac:dyDescent="0.25">
      <c r="A13" s="4" t="s">
        <v>872</v>
      </c>
      <c r="B13" s="55" t="s">
        <v>873</v>
      </c>
      <c r="C13" s="4" t="s">
        <v>874</v>
      </c>
      <c r="D13" s="19">
        <v>7000</v>
      </c>
      <c r="E13" s="19">
        <v>0</v>
      </c>
      <c r="F13" s="35">
        <f t="shared" si="0"/>
        <v>7000</v>
      </c>
      <c r="G13" s="58">
        <v>0</v>
      </c>
      <c r="H13" s="4" t="s">
        <v>723</v>
      </c>
      <c r="I13" s="4" t="s">
        <v>747</v>
      </c>
      <c r="J13" s="4"/>
      <c r="K13" s="4"/>
      <c r="L13" s="4"/>
    </row>
    <row r="14" spans="1:12" x14ac:dyDescent="0.25">
      <c r="A14" s="2" t="s">
        <v>875</v>
      </c>
      <c r="B14" s="56" t="s">
        <v>876</v>
      </c>
      <c r="C14" s="2" t="s">
        <v>877</v>
      </c>
      <c r="D14" s="18">
        <v>2500</v>
      </c>
      <c r="E14" s="18">
        <v>0</v>
      </c>
      <c r="F14" s="36">
        <f t="shared" si="0"/>
        <v>2500</v>
      </c>
      <c r="G14" s="57">
        <v>0</v>
      </c>
      <c r="H14" s="2" t="s">
        <v>723</v>
      </c>
      <c r="I14" s="2" t="s">
        <v>747</v>
      </c>
      <c r="J14" s="2"/>
      <c r="K14" s="2"/>
      <c r="L14" s="2"/>
    </row>
    <row r="15" spans="1:12" x14ac:dyDescent="0.25">
      <c r="A15" s="4" t="s">
        <v>878</v>
      </c>
      <c r="B15" s="55" t="s">
        <v>879</v>
      </c>
      <c r="C15" s="4" t="s">
        <v>880</v>
      </c>
      <c r="D15" s="19">
        <v>4000</v>
      </c>
      <c r="E15" s="19">
        <v>0</v>
      </c>
      <c r="F15" s="35">
        <f t="shared" si="0"/>
        <v>4000</v>
      </c>
      <c r="G15" s="58">
        <v>0</v>
      </c>
      <c r="H15" s="4" t="s">
        <v>723</v>
      </c>
      <c r="I15" s="4" t="s">
        <v>747</v>
      </c>
      <c r="J15" s="4"/>
      <c r="K15" s="4"/>
      <c r="L15" s="4"/>
    </row>
    <row r="16" spans="1:12" x14ac:dyDescent="0.25">
      <c r="A16" s="2" t="s">
        <v>881</v>
      </c>
      <c r="B16" s="56" t="s">
        <v>882</v>
      </c>
      <c r="C16" s="2" t="s">
        <v>883</v>
      </c>
      <c r="D16" s="18">
        <v>1500</v>
      </c>
      <c r="E16" s="18">
        <v>0</v>
      </c>
      <c r="F16" s="36">
        <f t="shared" si="0"/>
        <v>1500</v>
      </c>
      <c r="G16" s="57">
        <v>0</v>
      </c>
      <c r="H16" s="2" t="s">
        <v>723</v>
      </c>
      <c r="I16" s="2" t="s">
        <v>747</v>
      </c>
      <c r="J16" s="2"/>
      <c r="K16" s="2"/>
      <c r="L16" s="2"/>
    </row>
    <row r="17" spans="1:12" x14ac:dyDescent="0.25">
      <c r="A17" s="4" t="s">
        <v>884</v>
      </c>
      <c r="B17" s="55" t="s">
        <v>885</v>
      </c>
      <c r="C17" s="4" t="s">
        <v>886</v>
      </c>
      <c r="D17" s="19">
        <v>5000</v>
      </c>
      <c r="E17" s="19">
        <v>0</v>
      </c>
      <c r="F17" s="35">
        <f t="shared" si="0"/>
        <v>5000</v>
      </c>
      <c r="G17" s="58">
        <v>0</v>
      </c>
      <c r="H17" s="4" t="s">
        <v>723</v>
      </c>
      <c r="I17" s="4" t="s">
        <v>747</v>
      </c>
      <c r="J17" s="4"/>
      <c r="K17" s="4"/>
      <c r="L17" s="4"/>
    </row>
    <row r="18" spans="1:12" x14ac:dyDescent="0.25">
      <c r="A18" s="2" t="s">
        <v>887</v>
      </c>
      <c r="B18" s="56" t="s">
        <v>888</v>
      </c>
      <c r="C18" s="2" t="s">
        <v>889</v>
      </c>
      <c r="D18" s="18">
        <v>8000</v>
      </c>
      <c r="E18" s="18">
        <v>0</v>
      </c>
      <c r="F18" s="36">
        <f t="shared" si="0"/>
        <v>8000</v>
      </c>
      <c r="G18" s="57">
        <v>0</v>
      </c>
      <c r="H18" s="2" t="s">
        <v>723</v>
      </c>
      <c r="I18" s="2" t="s">
        <v>747</v>
      </c>
      <c r="J18" s="2"/>
      <c r="K18" s="2"/>
      <c r="L18" s="2"/>
    </row>
    <row r="19" spans="1:12" x14ac:dyDescent="0.25">
      <c r="A19" s="4" t="s">
        <v>890</v>
      </c>
      <c r="B19" s="55" t="s">
        <v>891</v>
      </c>
      <c r="C19" s="4" t="s">
        <v>892</v>
      </c>
      <c r="D19" s="19">
        <v>4000</v>
      </c>
      <c r="E19" s="19">
        <v>0</v>
      </c>
      <c r="F19" s="35">
        <f t="shared" si="0"/>
        <v>4000</v>
      </c>
      <c r="G19" s="58">
        <v>0</v>
      </c>
      <c r="H19" s="4" t="s">
        <v>723</v>
      </c>
      <c r="I19" s="4" t="s">
        <v>747</v>
      </c>
      <c r="J19" s="4"/>
      <c r="K19" s="4"/>
      <c r="L19" s="4"/>
    </row>
    <row r="20" spans="1:12" x14ac:dyDescent="0.25">
      <c r="A20" s="2" t="s">
        <v>893</v>
      </c>
      <c r="B20" s="56" t="s">
        <v>894</v>
      </c>
      <c r="C20" s="2" t="s">
        <v>895</v>
      </c>
      <c r="D20" s="18">
        <v>3500</v>
      </c>
      <c r="E20" s="18">
        <v>0</v>
      </c>
      <c r="F20" s="36">
        <f t="shared" si="0"/>
        <v>3500</v>
      </c>
      <c r="G20" s="57">
        <v>0</v>
      </c>
      <c r="H20" s="2" t="s">
        <v>723</v>
      </c>
      <c r="I20" s="2" t="s">
        <v>747</v>
      </c>
      <c r="J20" s="2"/>
      <c r="K20" s="2"/>
      <c r="L20" s="2"/>
    </row>
    <row r="21" spans="1:12" x14ac:dyDescent="0.25">
      <c r="A21" s="4" t="s">
        <v>896</v>
      </c>
      <c r="B21" s="55" t="s">
        <v>897</v>
      </c>
      <c r="C21" s="4" t="s">
        <v>898</v>
      </c>
      <c r="D21" s="19">
        <v>2500</v>
      </c>
      <c r="E21" s="19">
        <v>0</v>
      </c>
      <c r="F21" s="35">
        <f t="shared" si="0"/>
        <v>2500</v>
      </c>
      <c r="G21" s="58">
        <v>0</v>
      </c>
      <c r="H21" s="4" t="s">
        <v>723</v>
      </c>
      <c r="I21" s="4" t="s">
        <v>747</v>
      </c>
      <c r="J21" s="4"/>
      <c r="K21" s="4"/>
      <c r="L21" s="4"/>
    </row>
    <row r="22" spans="1:12" x14ac:dyDescent="0.25">
      <c r="A22" s="2" t="s">
        <v>899</v>
      </c>
      <c r="B22" s="56" t="s">
        <v>900</v>
      </c>
      <c r="C22" s="2" t="s">
        <v>901</v>
      </c>
      <c r="D22" s="18">
        <v>1500</v>
      </c>
      <c r="E22" s="18">
        <v>0</v>
      </c>
      <c r="F22" s="36">
        <f t="shared" si="0"/>
        <v>1500</v>
      </c>
      <c r="G22" s="57">
        <v>0</v>
      </c>
      <c r="H22" s="2" t="s">
        <v>723</v>
      </c>
      <c r="I22" s="2" t="s">
        <v>747</v>
      </c>
      <c r="J22" s="2"/>
      <c r="K22" s="2"/>
      <c r="L22" s="2"/>
    </row>
    <row r="23" spans="1:12" x14ac:dyDescent="0.25">
      <c r="A23" s="4" t="s">
        <v>902</v>
      </c>
      <c r="B23" s="55" t="s">
        <v>903</v>
      </c>
      <c r="C23" s="4" t="s">
        <v>904</v>
      </c>
      <c r="D23" s="19">
        <v>2000</v>
      </c>
      <c r="E23" s="19">
        <v>0</v>
      </c>
      <c r="F23" s="35">
        <f t="shared" si="0"/>
        <v>2000</v>
      </c>
      <c r="G23" s="58">
        <v>0</v>
      </c>
      <c r="H23" s="4" t="s">
        <v>723</v>
      </c>
      <c r="I23" s="4" t="s">
        <v>747</v>
      </c>
      <c r="J23" s="4"/>
      <c r="K23" s="4"/>
      <c r="L23" s="4"/>
    </row>
    <row r="24" spans="1:12" x14ac:dyDescent="0.25">
      <c r="A24" s="2" t="s">
        <v>905</v>
      </c>
      <c r="B24" s="56" t="s">
        <v>906</v>
      </c>
      <c r="C24" s="2" t="s">
        <v>907</v>
      </c>
      <c r="D24" s="18">
        <v>1500</v>
      </c>
      <c r="E24" s="18">
        <v>0</v>
      </c>
      <c r="F24" s="36">
        <f t="shared" si="0"/>
        <v>1500</v>
      </c>
      <c r="G24" s="57">
        <v>0</v>
      </c>
      <c r="H24" s="2" t="s">
        <v>723</v>
      </c>
      <c r="I24" s="2" t="s">
        <v>747</v>
      </c>
      <c r="J24" s="2"/>
      <c r="K24" s="2"/>
      <c r="L24" s="2"/>
    </row>
    <row r="25" spans="1:12" x14ac:dyDescent="0.25">
      <c r="A25" s="4" t="s">
        <v>908</v>
      </c>
      <c r="B25" s="55" t="s">
        <v>909</v>
      </c>
      <c r="C25" s="4" t="s">
        <v>910</v>
      </c>
      <c r="D25" s="19">
        <v>2500</v>
      </c>
      <c r="E25" s="19">
        <v>0</v>
      </c>
      <c r="F25" s="35">
        <f t="shared" si="0"/>
        <v>2500</v>
      </c>
      <c r="G25" s="58">
        <v>0</v>
      </c>
      <c r="H25" s="4" t="s">
        <v>723</v>
      </c>
      <c r="I25" s="4" t="s">
        <v>747</v>
      </c>
      <c r="J25" s="4"/>
      <c r="K25" s="4"/>
      <c r="L25" s="4"/>
    </row>
    <row r="26" spans="1:12" x14ac:dyDescent="0.25">
      <c r="A26" s="2" t="s">
        <v>911</v>
      </c>
      <c r="B26" s="56" t="s">
        <v>912</v>
      </c>
      <c r="C26" s="2" t="s">
        <v>913</v>
      </c>
      <c r="D26" s="18">
        <v>3000</v>
      </c>
      <c r="E26" s="18">
        <v>0</v>
      </c>
      <c r="F26" s="36">
        <f t="shared" si="0"/>
        <v>3000</v>
      </c>
      <c r="G26" s="57">
        <v>0</v>
      </c>
      <c r="H26" s="2" t="s">
        <v>723</v>
      </c>
      <c r="I26" s="2" t="s">
        <v>747</v>
      </c>
      <c r="J26" s="2"/>
      <c r="K26" s="2"/>
      <c r="L26" s="2"/>
    </row>
    <row r="27" spans="1:12" x14ac:dyDescent="0.25">
      <c r="A27" s="4" t="s">
        <v>914</v>
      </c>
      <c r="B27" s="55" t="s">
        <v>915</v>
      </c>
      <c r="C27" s="4" t="s">
        <v>916</v>
      </c>
      <c r="D27" s="19">
        <v>2000</v>
      </c>
      <c r="E27" s="19">
        <v>0</v>
      </c>
      <c r="F27" s="35">
        <f t="shared" si="0"/>
        <v>2000</v>
      </c>
      <c r="G27" s="58">
        <v>0</v>
      </c>
      <c r="H27" s="4" t="s">
        <v>723</v>
      </c>
      <c r="I27" s="4" t="s">
        <v>747</v>
      </c>
      <c r="J27" s="4"/>
      <c r="K27" s="4"/>
      <c r="L27" s="4"/>
    </row>
    <row r="28" spans="1:12" x14ac:dyDescent="0.25">
      <c r="A28" s="2" t="s">
        <v>917</v>
      </c>
      <c r="B28" s="56" t="s">
        <v>918</v>
      </c>
      <c r="C28" s="2" t="s">
        <v>919</v>
      </c>
      <c r="D28" s="18">
        <v>1000</v>
      </c>
      <c r="E28" s="18">
        <v>0</v>
      </c>
      <c r="F28" s="36">
        <f t="shared" si="0"/>
        <v>1000</v>
      </c>
      <c r="G28" s="57">
        <v>0</v>
      </c>
      <c r="H28" s="2" t="s">
        <v>723</v>
      </c>
      <c r="I28" s="2" t="s">
        <v>747</v>
      </c>
      <c r="J28" s="2"/>
      <c r="K28" s="2"/>
      <c r="L28" s="2"/>
    </row>
    <row r="29" spans="1:12" x14ac:dyDescent="0.25">
      <c r="A29" s="4" t="s">
        <v>920</v>
      </c>
      <c r="B29" s="55" t="s">
        <v>921</v>
      </c>
      <c r="C29" s="4" t="s">
        <v>922</v>
      </c>
      <c r="D29" s="19">
        <v>1500</v>
      </c>
      <c r="E29" s="19">
        <v>0</v>
      </c>
      <c r="F29" s="35">
        <f t="shared" si="0"/>
        <v>1500</v>
      </c>
      <c r="G29" s="58">
        <v>0</v>
      </c>
      <c r="H29" s="4" t="s">
        <v>723</v>
      </c>
      <c r="I29" s="4" t="s">
        <v>747</v>
      </c>
      <c r="J29" s="4"/>
      <c r="K29" s="4"/>
      <c r="L29" s="4"/>
    </row>
    <row r="30" spans="1:12" x14ac:dyDescent="0.25">
      <c r="A30" s="2" t="s">
        <v>923</v>
      </c>
      <c r="B30" s="56" t="s">
        <v>924</v>
      </c>
      <c r="C30" s="2" t="s">
        <v>925</v>
      </c>
      <c r="D30" s="18">
        <v>500</v>
      </c>
      <c r="E30" s="18">
        <v>0</v>
      </c>
      <c r="F30" s="36">
        <f t="shared" si="0"/>
        <v>500</v>
      </c>
      <c r="G30" s="57">
        <v>0</v>
      </c>
      <c r="H30" s="2" t="s">
        <v>723</v>
      </c>
      <c r="I30" s="2" t="s">
        <v>747</v>
      </c>
      <c r="J30" s="2"/>
      <c r="K30" s="2"/>
      <c r="L30" s="2"/>
    </row>
    <row r="31" spans="1:12" x14ac:dyDescent="0.25">
      <c r="A31" s="2" t="s">
        <v>926</v>
      </c>
      <c r="B31" s="56" t="s">
        <v>927</v>
      </c>
      <c r="C31" s="2" t="s">
        <v>928</v>
      </c>
      <c r="D31" s="36">
        <f>SUM(D4:D30)*0.1</f>
        <v>12750</v>
      </c>
      <c r="E31" s="18">
        <v>0</v>
      </c>
      <c r="F31" s="36">
        <f t="shared" si="0"/>
        <v>12750</v>
      </c>
      <c r="G31" s="28"/>
      <c r="H31" s="28"/>
      <c r="I31" s="28"/>
      <c r="J31" s="28"/>
      <c r="K31" s="28"/>
      <c r="L31" s="28"/>
    </row>
    <row r="32" spans="1:12" x14ac:dyDescent="0.25">
      <c r="A32" s="4" t="s">
        <v>929</v>
      </c>
      <c r="B32" s="55" t="s">
        <v>930</v>
      </c>
      <c r="C32" s="4" t="s">
        <v>931</v>
      </c>
      <c r="D32" s="35">
        <f>SUM(D4:D30)*0.1</f>
        <v>12750</v>
      </c>
      <c r="E32" s="19">
        <v>0</v>
      </c>
      <c r="F32" s="35">
        <f t="shared" si="0"/>
        <v>12750</v>
      </c>
      <c r="G32" s="29"/>
      <c r="H32" s="29"/>
      <c r="I32" s="29"/>
      <c r="J32" s="29"/>
      <c r="K32" s="29"/>
      <c r="L32" s="29"/>
    </row>
    <row r="33" spans="1:12" x14ac:dyDescent="0.25">
      <c r="A33" s="2" t="s">
        <v>932</v>
      </c>
      <c r="B33" s="56" t="s">
        <v>933</v>
      </c>
      <c r="C33" s="2" t="s">
        <v>934</v>
      </c>
      <c r="D33" s="18">
        <v>0</v>
      </c>
      <c r="E33" s="18">
        <v>8000</v>
      </c>
      <c r="F33" s="36">
        <f t="shared" si="0"/>
        <v>-8000</v>
      </c>
      <c r="G33" s="28"/>
      <c r="H33" s="28"/>
      <c r="I33" s="28"/>
      <c r="J33" s="28"/>
      <c r="K33" s="28"/>
      <c r="L33" s="28"/>
    </row>
    <row r="35" spans="1:12" x14ac:dyDescent="0.25">
      <c r="A35" s="91" t="s">
        <v>935</v>
      </c>
      <c r="B35" s="81"/>
      <c r="C35" s="81"/>
      <c r="D35" s="59">
        <f>SUM(D4:D33)</f>
        <v>153000</v>
      </c>
      <c r="E35" s="59">
        <f>SUM(E4:E33)</f>
        <v>11500</v>
      </c>
      <c r="F35" s="59">
        <f>D35-E35</f>
        <v>141500</v>
      </c>
    </row>
    <row r="36" spans="1:12" x14ac:dyDescent="0.25">
      <c r="A36" s="85" t="s">
        <v>936</v>
      </c>
      <c r="B36" s="81"/>
      <c r="C36" s="81"/>
      <c r="D36" s="20" t="str">
        <f>IF(E35&gt;D35,"RED — OVER BUDGET",IF(E35/D35&gt;0.9,"YELLOW — AT RISK","GREEN — ON TRACK"))</f>
        <v>GREEN — ON TRACK</v>
      </c>
    </row>
  </sheetData>
  <mergeCells count="3">
    <mergeCell ref="A35:C35"/>
    <mergeCell ref="A36:C36"/>
    <mergeCell ref="A1:L1"/>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E7D32"/>
  </sheetPr>
  <dimension ref="A1:M4"/>
  <sheetViews>
    <sheetView workbookViewId="0">
      <pane ySplit="3" topLeftCell="A4" activePane="bottomLeft" state="frozen"/>
      <selection pane="bottomLeft" sqref="A1:M1"/>
    </sheetView>
  </sheetViews>
  <sheetFormatPr defaultRowHeight="15" x14ac:dyDescent="0.25"/>
  <cols>
    <col min="1" max="1" width="10" customWidth="1"/>
    <col min="2" max="2" width="12" customWidth="1"/>
    <col min="3" max="4" width="16" customWidth="1"/>
    <col min="5" max="5" width="14" customWidth="1"/>
    <col min="6" max="6" width="35" customWidth="1"/>
    <col min="7" max="7" width="16" customWidth="1"/>
    <col min="8" max="8" width="18" customWidth="1"/>
    <col min="9" max="9" width="10" customWidth="1"/>
    <col min="10" max="10" width="14" customWidth="1"/>
    <col min="11" max="12" width="18" customWidth="1"/>
    <col min="13" max="13" width="28" customWidth="1"/>
  </cols>
  <sheetData>
    <row r="1" spans="1:13" ht="27.95" customHeight="1" x14ac:dyDescent="0.25">
      <c r="A1" s="84" t="s">
        <v>937</v>
      </c>
      <c r="B1" s="81"/>
      <c r="C1" s="81"/>
      <c r="D1" s="81"/>
      <c r="E1" s="81"/>
      <c r="F1" s="81"/>
      <c r="G1" s="81"/>
      <c r="H1" s="81"/>
      <c r="I1" s="81"/>
      <c r="J1" s="81"/>
      <c r="K1" s="81"/>
      <c r="L1" s="81"/>
      <c r="M1" s="81"/>
    </row>
    <row r="2" spans="1:13" ht="6" customHeight="1" x14ac:dyDescent="0.25"/>
    <row r="3" spans="1:13" ht="25.5" x14ac:dyDescent="0.25">
      <c r="A3" s="1" t="s">
        <v>938</v>
      </c>
      <c r="B3" s="1" t="s">
        <v>460</v>
      </c>
      <c r="C3" s="1" t="s">
        <v>716</v>
      </c>
      <c r="D3" s="1" t="s">
        <v>939</v>
      </c>
      <c r="E3" s="1" t="s">
        <v>940</v>
      </c>
      <c r="F3" s="1" t="s">
        <v>941</v>
      </c>
      <c r="G3" s="1" t="s">
        <v>942</v>
      </c>
      <c r="H3" s="1" t="s">
        <v>943</v>
      </c>
      <c r="I3" s="1" t="s">
        <v>944</v>
      </c>
      <c r="J3" s="1" t="s">
        <v>945</v>
      </c>
      <c r="K3" s="1" t="s">
        <v>946</v>
      </c>
      <c r="L3" s="1" t="s">
        <v>947</v>
      </c>
      <c r="M3" s="1" t="s">
        <v>3</v>
      </c>
    </row>
    <row r="4" spans="1:13" x14ac:dyDescent="0.25">
      <c r="A4" s="2" t="s">
        <v>948</v>
      </c>
      <c r="B4" s="2" t="s">
        <v>485</v>
      </c>
      <c r="C4" s="2" t="s">
        <v>70</v>
      </c>
      <c r="D4" s="2" t="s">
        <v>949</v>
      </c>
      <c r="E4" s="18">
        <v>3500</v>
      </c>
      <c r="F4" s="2" t="s">
        <v>950</v>
      </c>
      <c r="G4" s="2">
        <v>70</v>
      </c>
      <c r="H4" s="2" t="s">
        <v>660</v>
      </c>
      <c r="I4" s="2" t="s">
        <v>250</v>
      </c>
      <c r="J4" s="2">
        <v>1</v>
      </c>
      <c r="K4" s="36">
        <v>3500</v>
      </c>
      <c r="L4" s="36">
        <f>90000-K4</f>
        <v>86500</v>
      </c>
      <c r="M4" s="2" t="s">
        <v>951</v>
      </c>
    </row>
  </sheetData>
  <mergeCells count="1">
    <mergeCell ref="A1:M1"/>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E7D32"/>
  </sheetPr>
  <dimension ref="A1:L4"/>
  <sheetViews>
    <sheetView workbookViewId="0">
      <pane ySplit="3" topLeftCell="A4" activePane="bottomLeft" state="frozen"/>
      <selection pane="bottomLeft" sqref="A1:L1"/>
    </sheetView>
  </sheetViews>
  <sheetFormatPr defaultRowHeight="15" x14ac:dyDescent="0.25"/>
  <cols>
    <col min="1" max="1" width="10" customWidth="1"/>
    <col min="2" max="2" width="16" customWidth="1"/>
    <col min="3" max="3" width="12" customWidth="1"/>
    <col min="4" max="5" width="14" customWidth="1"/>
    <col min="6" max="7" width="12" customWidth="1"/>
    <col min="8" max="9" width="10" customWidth="1"/>
    <col min="10" max="10" width="16" customWidth="1"/>
    <col min="11" max="11" width="18" customWidth="1"/>
    <col min="12" max="12" width="28" customWidth="1"/>
  </cols>
  <sheetData>
    <row r="1" spans="1:12" ht="27.95" customHeight="1" x14ac:dyDescent="0.25">
      <c r="A1" s="84" t="s">
        <v>952</v>
      </c>
      <c r="B1" s="81"/>
      <c r="C1" s="81"/>
      <c r="D1" s="81"/>
      <c r="E1" s="81"/>
      <c r="F1" s="81"/>
      <c r="G1" s="81"/>
      <c r="H1" s="81"/>
      <c r="I1" s="81"/>
      <c r="J1" s="81"/>
      <c r="K1" s="81"/>
      <c r="L1" s="81"/>
    </row>
    <row r="2" spans="1:12" ht="6" customHeight="1" x14ac:dyDescent="0.25"/>
    <row r="3" spans="1:12" x14ac:dyDescent="0.25">
      <c r="A3" s="1" t="s">
        <v>953</v>
      </c>
      <c r="B3" s="1" t="s">
        <v>716</v>
      </c>
      <c r="C3" s="1" t="s">
        <v>954</v>
      </c>
      <c r="D3" s="1" t="s">
        <v>955</v>
      </c>
      <c r="E3" s="1" t="s">
        <v>956</v>
      </c>
      <c r="F3" s="1" t="s">
        <v>439</v>
      </c>
      <c r="G3" s="1" t="s">
        <v>957</v>
      </c>
      <c r="H3" s="1" t="s">
        <v>958</v>
      </c>
      <c r="I3" s="1" t="s">
        <v>659</v>
      </c>
      <c r="J3" s="1" t="s">
        <v>959</v>
      </c>
      <c r="K3" s="1" t="s">
        <v>960</v>
      </c>
      <c r="L3" s="1" t="s">
        <v>3</v>
      </c>
    </row>
    <row r="4" spans="1:12" x14ac:dyDescent="0.25">
      <c r="A4" s="2" t="s">
        <v>961</v>
      </c>
      <c r="B4" s="2" t="s">
        <v>70</v>
      </c>
      <c r="C4" s="2" t="s">
        <v>962</v>
      </c>
      <c r="D4" s="18">
        <v>750</v>
      </c>
      <c r="E4" s="18">
        <v>150</v>
      </c>
      <c r="F4" s="18">
        <v>100</v>
      </c>
      <c r="G4" s="18">
        <v>80</v>
      </c>
      <c r="H4" s="18">
        <v>0</v>
      </c>
      <c r="I4" s="18">
        <v>0</v>
      </c>
      <c r="J4" s="36">
        <f>SUM(D4:I4)</f>
        <v>1080</v>
      </c>
      <c r="K4" s="36">
        <f>J4</f>
        <v>1080</v>
      </c>
      <c r="L4" s="28"/>
    </row>
  </sheetData>
  <mergeCells count="1">
    <mergeCell ref="A1:L1"/>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E7D32"/>
  </sheetPr>
  <dimension ref="A1:X4"/>
  <sheetViews>
    <sheetView workbookViewId="0">
      <pane ySplit="3" topLeftCell="A4" activePane="bottomLeft" state="frozen"/>
      <selection pane="bottomLeft" sqref="A1:X1"/>
    </sheetView>
  </sheetViews>
  <sheetFormatPr defaultRowHeight="15" x14ac:dyDescent="0.25"/>
  <cols>
    <col min="1" max="1" width="10" customWidth="1"/>
    <col min="2" max="2" width="16" customWidth="1"/>
    <col min="3" max="3" width="8" customWidth="1"/>
    <col min="4" max="4" width="18" customWidth="1"/>
    <col min="5" max="6" width="12" customWidth="1"/>
    <col min="7" max="7" width="14" customWidth="1"/>
    <col min="8" max="8" width="16" customWidth="1"/>
    <col min="9" max="9" width="14" customWidth="1"/>
    <col min="10" max="22" width="8" customWidth="1"/>
    <col min="23" max="23" width="14" customWidth="1"/>
    <col min="24" max="24" width="38" customWidth="1"/>
  </cols>
  <sheetData>
    <row r="1" spans="1:24" ht="27.95" customHeight="1" x14ac:dyDescent="0.25">
      <c r="A1" s="84" t="s">
        <v>963</v>
      </c>
      <c r="B1" s="81"/>
      <c r="C1" s="81"/>
      <c r="D1" s="81"/>
      <c r="E1" s="81"/>
      <c r="F1" s="81"/>
      <c r="G1" s="81"/>
      <c r="H1" s="81"/>
      <c r="I1" s="81"/>
      <c r="J1" s="81"/>
      <c r="K1" s="81"/>
      <c r="L1" s="81"/>
      <c r="M1" s="81"/>
      <c r="N1" s="81"/>
      <c r="O1" s="81"/>
      <c r="P1" s="81"/>
      <c r="Q1" s="81"/>
      <c r="R1" s="81"/>
      <c r="S1" s="81"/>
      <c r="T1" s="81"/>
      <c r="U1" s="81"/>
      <c r="V1" s="81"/>
      <c r="W1" s="81"/>
      <c r="X1" s="81"/>
    </row>
    <row r="2" spans="1:24" ht="6" customHeight="1" x14ac:dyDescent="0.25"/>
    <row r="3" spans="1:24" ht="25.5" x14ac:dyDescent="0.25">
      <c r="A3" s="1" t="s">
        <v>964</v>
      </c>
      <c r="B3" s="1" t="s">
        <v>716</v>
      </c>
      <c r="C3" s="1" t="s">
        <v>965</v>
      </c>
      <c r="D3" s="1" t="s">
        <v>966</v>
      </c>
      <c r="E3" s="1" t="s">
        <v>967</v>
      </c>
      <c r="F3" s="1" t="s">
        <v>968</v>
      </c>
      <c r="G3" s="1" t="s">
        <v>798</v>
      </c>
      <c r="H3" s="1" t="s">
        <v>969</v>
      </c>
      <c r="I3" s="1" t="s">
        <v>970</v>
      </c>
      <c r="J3" s="1" t="s">
        <v>595</v>
      </c>
      <c r="K3" s="1" t="s">
        <v>596</v>
      </c>
      <c r="L3" s="1" t="s">
        <v>597</v>
      </c>
      <c r="M3" s="1" t="s">
        <v>598</v>
      </c>
      <c r="N3" s="1" t="s">
        <v>599</v>
      </c>
      <c r="O3" s="1" t="s">
        <v>600</v>
      </c>
      <c r="P3" s="1" t="s">
        <v>601</v>
      </c>
      <c r="Q3" s="1" t="s">
        <v>602</v>
      </c>
      <c r="R3" s="1" t="s">
        <v>603</v>
      </c>
      <c r="S3" s="1" t="s">
        <v>604</v>
      </c>
      <c r="T3" s="1" t="s">
        <v>605</v>
      </c>
      <c r="U3" s="1" t="s">
        <v>606</v>
      </c>
      <c r="V3" s="1" t="s">
        <v>971</v>
      </c>
      <c r="W3" s="1" t="s">
        <v>972</v>
      </c>
      <c r="X3" s="1" t="s">
        <v>3</v>
      </c>
    </row>
    <row r="4" spans="1:24" x14ac:dyDescent="0.25">
      <c r="A4" s="2" t="s">
        <v>973</v>
      </c>
      <c r="B4" s="2" t="s">
        <v>70</v>
      </c>
      <c r="C4" s="2" t="s">
        <v>974</v>
      </c>
      <c r="D4" s="60" t="s">
        <v>975</v>
      </c>
      <c r="E4" s="2"/>
      <c r="F4" s="2"/>
      <c r="G4" s="61">
        <v>1400</v>
      </c>
      <c r="H4" s="28"/>
      <c r="I4" s="2">
        <v>0</v>
      </c>
      <c r="J4" s="2">
        <v>0</v>
      </c>
      <c r="K4" s="2">
        <v>0</v>
      </c>
      <c r="L4" s="2">
        <v>0</v>
      </c>
      <c r="M4" s="2">
        <v>0</v>
      </c>
      <c r="N4" s="2">
        <v>0</v>
      </c>
      <c r="O4" s="2">
        <v>0</v>
      </c>
      <c r="P4" s="2">
        <v>0</v>
      </c>
      <c r="Q4" s="2">
        <v>0</v>
      </c>
      <c r="R4" s="2">
        <v>0</v>
      </c>
      <c r="S4" s="2">
        <v>0</v>
      </c>
      <c r="T4" s="2">
        <v>0</v>
      </c>
      <c r="U4" s="2">
        <v>0</v>
      </c>
      <c r="V4" s="23">
        <f>SUM(J4:U4)</f>
        <v>0</v>
      </c>
      <c r="W4" s="23">
        <f>SUM(J4:N4)</f>
        <v>0</v>
      </c>
      <c r="X4" s="2" t="s">
        <v>976</v>
      </c>
    </row>
  </sheetData>
  <mergeCells count="1">
    <mergeCell ref="A1:X1"/>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E7D32"/>
  </sheetPr>
  <dimension ref="A1:L5"/>
  <sheetViews>
    <sheetView workbookViewId="0">
      <pane ySplit="3" topLeftCell="A4" activePane="bottomLeft" state="frozen"/>
      <selection pane="bottomLeft" sqref="A1:L1"/>
    </sheetView>
  </sheetViews>
  <sheetFormatPr defaultRowHeight="15" x14ac:dyDescent="0.25"/>
  <cols>
    <col min="1" max="1" width="10" customWidth="1"/>
    <col min="2" max="2" width="12" customWidth="1"/>
    <col min="3" max="3" width="16" customWidth="1"/>
    <col min="4" max="4" width="28" customWidth="1"/>
    <col min="5" max="5" width="14" customWidth="1"/>
    <col min="6" max="6" width="18" customWidth="1"/>
    <col min="7" max="7" width="12" customWidth="1"/>
    <col min="8" max="9" width="20" customWidth="1"/>
    <col min="10" max="10" width="14" customWidth="1"/>
    <col min="11" max="11" width="12" customWidth="1"/>
    <col min="12" max="12" width="32" customWidth="1"/>
  </cols>
  <sheetData>
    <row r="1" spans="1:12" ht="27.95" customHeight="1" x14ac:dyDescent="0.25">
      <c r="A1" s="84" t="s">
        <v>977</v>
      </c>
      <c r="B1" s="81"/>
      <c r="C1" s="81"/>
      <c r="D1" s="81"/>
      <c r="E1" s="81"/>
      <c r="F1" s="81"/>
      <c r="G1" s="81"/>
      <c r="H1" s="81"/>
      <c r="I1" s="81"/>
      <c r="J1" s="81"/>
      <c r="K1" s="81"/>
      <c r="L1" s="81"/>
    </row>
    <row r="2" spans="1:12" ht="6" customHeight="1" x14ac:dyDescent="0.25"/>
    <row r="3" spans="1:12" ht="25.5" x14ac:dyDescent="0.25">
      <c r="A3" s="1" t="s">
        <v>978</v>
      </c>
      <c r="B3" s="1" t="s">
        <v>460</v>
      </c>
      <c r="C3" s="1" t="s">
        <v>716</v>
      </c>
      <c r="D3" s="1" t="s">
        <v>102</v>
      </c>
      <c r="E3" s="1" t="s">
        <v>634</v>
      </c>
      <c r="F3" s="1" t="s">
        <v>979</v>
      </c>
      <c r="G3" s="1" t="s">
        <v>980</v>
      </c>
      <c r="H3" s="1" t="s">
        <v>981</v>
      </c>
      <c r="I3" s="1" t="s">
        <v>982</v>
      </c>
      <c r="J3" s="1" t="s">
        <v>983</v>
      </c>
      <c r="K3" s="1" t="s">
        <v>984</v>
      </c>
      <c r="L3" s="1" t="s">
        <v>3</v>
      </c>
    </row>
    <row r="4" spans="1:12" x14ac:dyDescent="0.25">
      <c r="A4" s="2" t="s">
        <v>985</v>
      </c>
      <c r="B4" s="2" t="s">
        <v>470</v>
      </c>
      <c r="C4" s="2" t="s">
        <v>70</v>
      </c>
      <c r="D4" s="2" t="s">
        <v>986</v>
      </c>
      <c r="E4" s="18">
        <v>97900</v>
      </c>
      <c r="F4" s="2" t="s">
        <v>987</v>
      </c>
      <c r="G4" s="62">
        <v>27.5</v>
      </c>
      <c r="H4" s="36">
        <f>E4/G4</f>
        <v>3560</v>
      </c>
      <c r="I4" s="18">
        <v>0</v>
      </c>
      <c r="J4" s="36">
        <f>E4-I4</f>
        <v>97900</v>
      </c>
      <c r="K4" s="2" t="s">
        <v>250</v>
      </c>
      <c r="L4" s="2" t="s">
        <v>988</v>
      </c>
    </row>
    <row r="5" spans="1:12" x14ac:dyDescent="0.25">
      <c r="A5" s="4" t="s">
        <v>989</v>
      </c>
      <c r="B5" s="4" t="s">
        <v>470</v>
      </c>
      <c r="C5" s="4" t="s">
        <v>70</v>
      </c>
      <c r="D5" s="4" t="s">
        <v>990</v>
      </c>
      <c r="E5" s="19">
        <v>16100</v>
      </c>
      <c r="F5" s="4" t="s">
        <v>991</v>
      </c>
      <c r="G5" s="63">
        <v>0</v>
      </c>
      <c r="H5" s="35">
        <v>0</v>
      </c>
      <c r="I5" s="19">
        <v>0</v>
      </c>
      <c r="J5" s="35">
        <f>E5</f>
        <v>16100</v>
      </c>
      <c r="K5" s="4" t="s">
        <v>250</v>
      </c>
      <c r="L5" s="4" t="s">
        <v>992</v>
      </c>
    </row>
  </sheetData>
  <mergeCells count="1">
    <mergeCell ref="A1:L1"/>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E7D32"/>
  </sheetPr>
  <dimension ref="A1:P4"/>
  <sheetViews>
    <sheetView workbookViewId="0">
      <pane ySplit="3" topLeftCell="A4" activePane="bottomLeft" state="frozen"/>
      <selection pane="bottomLeft" sqref="A1:P1"/>
    </sheetView>
  </sheetViews>
  <sheetFormatPr defaultRowHeight="15" x14ac:dyDescent="0.25"/>
  <cols>
    <col min="1" max="1" width="12" customWidth="1"/>
    <col min="2" max="2" width="18" customWidth="1"/>
    <col min="3" max="3" width="12" customWidth="1"/>
    <col min="4" max="4" width="14" customWidth="1"/>
    <col min="5" max="5" width="16" customWidth="1"/>
    <col min="6" max="10" width="14" customWidth="1"/>
    <col min="11" max="11" width="10" customWidth="1"/>
    <col min="12" max="12" width="14" customWidth="1"/>
    <col min="13" max="14" width="12" customWidth="1"/>
    <col min="15" max="15" width="18" customWidth="1"/>
    <col min="16" max="16" width="28" customWidth="1"/>
  </cols>
  <sheetData>
    <row r="1" spans="1:16" ht="27.95" customHeight="1" x14ac:dyDescent="0.25">
      <c r="A1" s="84" t="s">
        <v>993</v>
      </c>
      <c r="B1" s="81"/>
      <c r="C1" s="81"/>
      <c r="D1" s="81"/>
      <c r="E1" s="81"/>
      <c r="F1" s="81"/>
      <c r="G1" s="81"/>
      <c r="H1" s="81"/>
      <c r="I1" s="81"/>
      <c r="J1" s="81"/>
      <c r="K1" s="81"/>
      <c r="L1" s="81"/>
      <c r="M1" s="81"/>
      <c r="N1" s="81"/>
      <c r="O1" s="81"/>
      <c r="P1" s="81"/>
    </row>
    <row r="2" spans="1:16" ht="6" customHeight="1" x14ac:dyDescent="0.25"/>
    <row r="3" spans="1:16" ht="25.5" x14ac:dyDescent="0.25">
      <c r="A3" s="1" t="s">
        <v>994</v>
      </c>
      <c r="B3" s="1" t="s">
        <v>716</v>
      </c>
      <c r="C3" s="1" t="s">
        <v>995</v>
      </c>
      <c r="D3" s="1" t="s">
        <v>996</v>
      </c>
      <c r="E3" s="1" t="s">
        <v>787</v>
      </c>
      <c r="F3" s="1" t="s">
        <v>997</v>
      </c>
      <c r="G3" s="1" t="s">
        <v>998</v>
      </c>
      <c r="H3" s="1" t="s">
        <v>999</v>
      </c>
      <c r="I3" s="1" t="s">
        <v>1000</v>
      </c>
      <c r="J3" s="1" t="s">
        <v>1001</v>
      </c>
      <c r="K3" s="1" t="s">
        <v>1002</v>
      </c>
      <c r="L3" s="1" t="s">
        <v>1003</v>
      </c>
      <c r="M3" s="1" t="s">
        <v>1004</v>
      </c>
      <c r="N3" s="1" t="s">
        <v>1005</v>
      </c>
      <c r="O3" s="1" t="s">
        <v>704</v>
      </c>
      <c r="P3" s="1" t="s">
        <v>3</v>
      </c>
    </row>
    <row r="4" spans="1:16" x14ac:dyDescent="0.25">
      <c r="A4" s="93" t="s">
        <v>1006</v>
      </c>
      <c r="B4" s="81"/>
      <c r="C4" s="81"/>
      <c r="D4" s="81"/>
      <c r="E4" s="81"/>
      <c r="F4" s="81"/>
      <c r="G4" s="81"/>
      <c r="H4" s="81"/>
      <c r="I4" s="81"/>
      <c r="J4" s="81"/>
      <c r="K4" s="81"/>
      <c r="L4" s="81"/>
      <c r="M4" s="81"/>
      <c r="N4" s="81"/>
      <c r="O4" s="81"/>
      <c r="P4" s="81"/>
    </row>
  </sheetData>
  <mergeCells count="2">
    <mergeCell ref="A1:P1"/>
    <mergeCell ref="A4:P4"/>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A0DAD"/>
  </sheetPr>
  <dimension ref="A1:I28"/>
  <sheetViews>
    <sheetView workbookViewId="0">
      <pane ySplit="3" topLeftCell="A4" activePane="bottomLeft" state="frozen"/>
      <selection pane="bottomLeft" sqref="A1:F1"/>
    </sheetView>
  </sheetViews>
  <sheetFormatPr defaultRowHeight="15" x14ac:dyDescent="0.25"/>
  <cols>
    <col min="1" max="1" width="25" customWidth="1"/>
    <col min="2" max="2" width="20" customWidth="1"/>
    <col min="3" max="3" width="12" customWidth="1"/>
    <col min="4" max="4" width="16" customWidth="1"/>
    <col min="5" max="8" width="14" customWidth="1"/>
    <col min="9" max="9" width="20" customWidth="1"/>
  </cols>
  <sheetData>
    <row r="1" spans="1:6" ht="27.95" customHeight="1" x14ac:dyDescent="0.25">
      <c r="A1" s="84" t="s">
        <v>1007</v>
      </c>
      <c r="B1" s="81"/>
      <c r="C1" s="81"/>
      <c r="D1" s="81"/>
      <c r="E1" s="81"/>
      <c r="F1" s="81"/>
    </row>
    <row r="2" spans="1:6" ht="6" customHeight="1" x14ac:dyDescent="0.25"/>
    <row r="3" spans="1:6" x14ac:dyDescent="0.25">
      <c r="A3" s="87" t="s">
        <v>1008</v>
      </c>
      <c r="B3" s="81"/>
      <c r="C3" s="81"/>
      <c r="D3" s="81"/>
      <c r="E3" s="81"/>
      <c r="F3" s="81"/>
    </row>
    <row r="4" spans="1:6" x14ac:dyDescent="0.25">
      <c r="A4" s="88" t="s">
        <v>1009</v>
      </c>
      <c r="B4" s="97"/>
      <c r="C4" s="97"/>
      <c r="D4" s="19" t="s">
        <v>1010</v>
      </c>
    </row>
    <row r="5" spans="1:6" x14ac:dyDescent="0.25">
      <c r="A5" s="95" t="s">
        <v>1011</v>
      </c>
      <c r="B5" s="96"/>
      <c r="C5" s="96"/>
      <c r="D5" s="18">
        <v>150000</v>
      </c>
    </row>
    <row r="6" spans="1:6" x14ac:dyDescent="0.25">
      <c r="A6" s="88" t="s">
        <v>1012</v>
      </c>
      <c r="B6" s="97"/>
      <c r="C6" s="97"/>
      <c r="D6" s="19">
        <v>60000</v>
      </c>
    </row>
    <row r="7" spans="1:6" x14ac:dyDescent="0.25">
      <c r="A7" s="95" t="s">
        <v>1013</v>
      </c>
      <c r="B7" s="96"/>
      <c r="C7" s="96"/>
      <c r="D7" s="18">
        <v>15000</v>
      </c>
    </row>
    <row r="8" spans="1:6" x14ac:dyDescent="0.25">
      <c r="A8" s="88" t="s">
        <v>1014</v>
      </c>
      <c r="B8" s="97"/>
      <c r="C8" s="97"/>
      <c r="D8" s="19">
        <v>2000</v>
      </c>
    </row>
    <row r="9" spans="1:6" x14ac:dyDescent="0.25">
      <c r="A9" s="95" t="s">
        <v>1015</v>
      </c>
      <c r="B9" s="96"/>
      <c r="C9" s="96"/>
      <c r="D9" s="18">
        <v>500</v>
      </c>
    </row>
    <row r="10" spans="1:6" x14ac:dyDescent="0.25">
      <c r="A10" s="88" t="s">
        <v>1016</v>
      </c>
      <c r="B10" s="97"/>
      <c r="C10" s="97"/>
      <c r="D10" s="19">
        <v>300</v>
      </c>
    </row>
    <row r="12" spans="1:6" x14ac:dyDescent="0.25">
      <c r="A12" s="87" t="s">
        <v>1017</v>
      </c>
      <c r="B12" s="81"/>
      <c r="C12" s="81"/>
      <c r="D12" s="81"/>
      <c r="E12" s="81"/>
      <c r="F12" s="81"/>
    </row>
    <row r="13" spans="1:6" x14ac:dyDescent="0.25">
      <c r="A13" s="98" t="s">
        <v>1018</v>
      </c>
      <c r="B13" s="99"/>
      <c r="C13" s="99"/>
      <c r="D13" s="64">
        <f>D5*0.7</f>
        <v>105000</v>
      </c>
    </row>
    <row r="14" spans="1:6" x14ac:dyDescent="0.25">
      <c r="A14" s="98" t="s">
        <v>1019</v>
      </c>
      <c r="B14" s="99"/>
      <c r="C14" s="99"/>
      <c r="D14" s="64">
        <f>D5*0.65</f>
        <v>97500</v>
      </c>
    </row>
    <row r="15" spans="1:6" x14ac:dyDescent="0.25">
      <c r="A15" s="98" t="s">
        <v>1020</v>
      </c>
      <c r="B15" s="99"/>
      <c r="C15" s="99"/>
      <c r="D15" s="64">
        <f>D5-D6</f>
        <v>90000</v>
      </c>
    </row>
    <row r="16" spans="1:6" x14ac:dyDescent="0.25">
      <c r="A16" s="98" t="s">
        <v>1021</v>
      </c>
      <c r="B16" s="99"/>
      <c r="C16" s="99"/>
      <c r="D16" s="64">
        <f>D8+D9+D10</f>
        <v>2800</v>
      </c>
    </row>
    <row r="17" spans="1:9" x14ac:dyDescent="0.25">
      <c r="A17" s="98" t="s">
        <v>1022</v>
      </c>
      <c r="B17" s="99"/>
      <c r="C17" s="99"/>
      <c r="D17" s="64">
        <f>D7-D16</f>
        <v>12200</v>
      </c>
    </row>
    <row r="18" spans="1:9" x14ac:dyDescent="0.25">
      <c r="A18" s="98" t="s">
        <v>1023</v>
      </c>
      <c r="B18" s="99"/>
      <c r="C18" s="99"/>
      <c r="D18" s="65">
        <f>IF(D16=0,0,D17/D16)</f>
        <v>4.3571428571428568</v>
      </c>
    </row>
    <row r="19" spans="1:9" x14ac:dyDescent="0.25">
      <c r="A19" s="98" t="s">
        <v>1024</v>
      </c>
      <c r="B19" s="99"/>
      <c r="C19" s="99"/>
      <c r="D19" s="66" t="str">
        <f>IF(D6&lt;=D5*0.65,"GO — DEAL WORKS","NO GO — PRICE TOO HIGH")</f>
        <v>GO — DEAL WORKS</v>
      </c>
    </row>
    <row r="22" spans="1:9" x14ac:dyDescent="0.25">
      <c r="A22" s="94" t="s">
        <v>1025</v>
      </c>
      <c r="B22" s="81"/>
      <c r="C22" s="81"/>
      <c r="D22" s="81"/>
      <c r="E22" s="81"/>
      <c r="F22" s="81"/>
    </row>
    <row r="23" spans="1:9" ht="25.5" x14ac:dyDescent="0.25">
      <c r="A23" s="1" t="s">
        <v>1026</v>
      </c>
      <c r="B23" s="1" t="s">
        <v>35</v>
      </c>
      <c r="C23" s="1" t="s">
        <v>791</v>
      </c>
      <c r="D23" s="1" t="s">
        <v>1027</v>
      </c>
      <c r="E23" s="1" t="s">
        <v>1028</v>
      </c>
      <c r="F23" s="1" t="s">
        <v>1029</v>
      </c>
      <c r="G23" s="1" t="s">
        <v>1030</v>
      </c>
      <c r="H23" s="1" t="s">
        <v>1001</v>
      </c>
      <c r="I23" s="1" t="s">
        <v>1031</v>
      </c>
    </row>
    <row r="24" spans="1:9" x14ac:dyDescent="0.25">
      <c r="A24" s="28"/>
      <c r="B24" s="28"/>
      <c r="C24" s="28"/>
      <c r="D24" s="28"/>
      <c r="E24" s="28"/>
      <c r="F24" s="28"/>
      <c r="G24" s="28"/>
      <c r="H24" s="28"/>
      <c r="I24" s="28"/>
    </row>
    <row r="25" spans="1:9" x14ac:dyDescent="0.25">
      <c r="A25" s="29"/>
      <c r="B25" s="29"/>
      <c r="C25" s="29"/>
      <c r="D25" s="29"/>
      <c r="E25" s="29"/>
      <c r="F25" s="29"/>
      <c r="G25" s="29"/>
      <c r="H25" s="29"/>
      <c r="I25" s="29"/>
    </row>
    <row r="26" spans="1:9" x14ac:dyDescent="0.25">
      <c r="A26" s="28"/>
      <c r="B26" s="28"/>
      <c r="C26" s="28"/>
      <c r="D26" s="28"/>
      <c r="E26" s="28"/>
      <c r="F26" s="28"/>
      <c r="G26" s="28"/>
      <c r="H26" s="28"/>
      <c r="I26" s="28"/>
    </row>
    <row r="27" spans="1:9" x14ac:dyDescent="0.25">
      <c r="A27" s="29"/>
      <c r="B27" s="29"/>
      <c r="C27" s="29"/>
      <c r="D27" s="29"/>
      <c r="E27" s="29"/>
      <c r="F27" s="29"/>
      <c r="G27" s="29"/>
      <c r="H27" s="29"/>
      <c r="I27" s="29"/>
    </row>
    <row r="28" spans="1:9" x14ac:dyDescent="0.25">
      <c r="A28" s="28"/>
      <c r="B28" s="28"/>
      <c r="C28" s="28"/>
      <c r="D28" s="28"/>
      <c r="E28" s="28"/>
      <c r="F28" s="28"/>
      <c r="G28" s="28"/>
      <c r="H28" s="28"/>
      <c r="I28" s="28"/>
    </row>
  </sheetData>
  <mergeCells count="18">
    <mergeCell ref="A1:F1"/>
    <mergeCell ref="A8:C8"/>
    <mergeCell ref="A6:C6"/>
    <mergeCell ref="A14:C14"/>
    <mergeCell ref="A17:C17"/>
    <mergeCell ref="A9:C9"/>
    <mergeCell ref="A22:F22"/>
    <mergeCell ref="A7:C7"/>
    <mergeCell ref="A12:F12"/>
    <mergeCell ref="A3:F3"/>
    <mergeCell ref="A4:C4"/>
    <mergeCell ref="A16:C16"/>
    <mergeCell ref="A15:C15"/>
    <mergeCell ref="A10:C10"/>
    <mergeCell ref="A13:C13"/>
    <mergeCell ref="A19:C19"/>
    <mergeCell ref="A5:C5"/>
    <mergeCell ref="A18:C18"/>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A0DAD"/>
  </sheetPr>
  <dimension ref="A1:F24"/>
  <sheetViews>
    <sheetView workbookViewId="0">
      <pane ySplit="3" topLeftCell="A4" activePane="bottomLeft" state="frozen"/>
      <selection pane="bottomLeft" sqref="A1:F1"/>
    </sheetView>
  </sheetViews>
  <sheetFormatPr defaultRowHeight="15" x14ac:dyDescent="0.25"/>
  <cols>
    <col min="1" max="1" width="28" customWidth="1"/>
    <col min="2" max="2" width="18" customWidth="1"/>
    <col min="3" max="3" width="12" customWidth="1"/>
    <col min="4" max="4" width="16" customWidth="1"/>
    <col min="5" max="6" width="14" customWidth="1"/>
  </cols>
  <sheetData>
    <row r="1" spans="1:6" ht="27.95" customHeight="1" x14ac:dyDescent="0.25">
      <c r="A1" s="84" t="s">
        <v>1032</v>
      </c>
      <c r="B1" s="81"/>
      <c r="C1" s="81"/>
      <c r="D1" s="81"/>
      <c r="E1" s="81"/>
      <c r="F1" s="81"/>
    </row>
    <row r="2" spans="1:6" ht="6" customHeight="1" x14ac:dyDescent="0.25"/>
    <row r="3" spans="1:6" x14ac:dyDescent="0.25">
      <c r="A3" s="87" t="s">
        <v>1033</v>
      </c>
      <c r="B3" s="81"/>
      <c r="C3" s="81"/>
      <c r="D3" s="81"/>
      <c r="E3" s="81"/>
      <c r="F3" s="81"/>
    </row>
    <row r="4" spans="1:6" x14ac:dyDescent="0.25">
      <c r="A4" s="88" t="s">
        <v>1009</v>
      </c>
      <c r="B4" s="97"/>
      <c r="C4" s="97"/>
      <c r="D4" s="19" t="s">
        <v>825</v>
      </c>
    </row>
    <row r="5" spans="1:6" x14ac:dyDescent="0.25">
      <c r="A5" s="95" t="s">
        <v>1012</v>
      </c>
      <c r="B5" s="96"/>
      <c r="C5" s="96"/>
      <c r="D5" s="18">
        <v>114000</v>
      </c>
    </row>
    <row r="6" spans="1:6" x14ac:dyDescent="0.25">
      <c r="A6" s="88" t="s">
        <v>1034</v>
      </c>
      <c r="B6" s="97"/>
      <c r="C6" s="97"/>
      <c r="D6" s="19">
        <v>4500</v>
      </c>
    </row>
    <row r="7" spans="1:6" x14ac:dyDescent="0.25">
      <c r="A7" s="95" t="s">
        <v>1035</v>
      </c>
      <c r="B7" s="96"/>
      <c r="C7" s="96"/>
      <c r="D7" s="18">
        <v>90000</v>
      </c>
    </row>
    <row r="8" spans="1:6" x14ac:dyDescent="0.25">
      <c r="A8" s="88" t="s">
        <v>1036</v>
      </c>
      <c r="B8" s="97"/>
      <c r="C8" s="97"/>
      <c r="D8" s="19">
        <v>9</v>
      </c>
    </row>
    <row r="9" spans="1:6" x14ac:dyDescent="0.25">
      <c r="A9" s="95" t="s">
        <v>1037</v>
      </c>
      <c r="B9" s="96"/>
      <c r="C9" s="96"/>
      <c r="D9" s="18">
        <v>1080</v>
      </c>
    </row>
    <row r="10" spans="1:6" x14ac:dyDescent="0.25">
      <c r="A10" s="88" t="s">
        <v>1038</v>
      </c>
      <c r="B10" s="97"/>
      <c r="C10" s="97"/>
      <c r="D10" s="19">
        <v>200000</v>
      </c>
    </row>
    <row r="11" spans="1:6" x14ac:dyDescent="0.25">
      <c r="A11" s="95" t="s">
        <v>1039</v>
      </c>
      <c r="B11" s="96"/>
      <c r="C11" s="96"/>
      <c r="D11" s="67">
        <v>0.06</v>
      </c>
    </row>
    <row r="12" spans="1:6" x14ac:dyDescent="0.25">
      <c r="A12" s="88" t="s">
        <v>1040</v>
      </c>
      <c r="B12" s="97"/>
      <c r="C12" s="97"/>
      <c r="D12" s="68">
        <v>0.03</v>
      </c>
    </row>
    <row r="13" spans="1:6" x14ac:dyDescent="0.25">
      <c r="A13" s="95" t="s">
        <v>1041</v>
      </c>
      <c r="B13" s="96"/>
      <c r="C13" s="96"/>
      <c r="D13" s="18">
        <v>2000</v>
      </c>
    </row>
    <row r="15" spans="1:6" x14ac:dyDescent="0.25">
      <c r="A15" s="87" t="s">
        <v>1042</v>
      </c>
      <c r="B15" s="81"/>
      <c r="C15" s="81"/>
      <c r="D15" s="81"/>
      <c r="E15" s="81"/>
      <c r="F15" s="81"/>
    </row>
    <row r="16" spans="1:6" x14ac:dyDescent="0.25">
      <c r="A16" s="98" t="s">
        <v>1043</v>
      </c>
      <c r="B16" s="99"/>
      <c r="C16" s="99"/>
      <c r="D16" s="64">
        <f>D5+D6</f>
        <v>118500</v>
      </c>
    </row>
    <row r="17" spans="1:4" x14ac:dyDescent="0.25">
      <c r="A17" s="98" t="s">
        <v>1044</v>
      </c>
      <c r="B17" s="99"/>
      <c r="C17" s="99"/>
      <c r="D17" s="64">
        <f>D7</f>
        <v>90000</v>
      </c>
    </row>
    <row r="18" spans="1:4" x14ac:dyDescent="0.25">
      <c r="A18" s="98" t="s">
        <v>1045</v>
      </c>
      <c r="B18" s="99"/>
      <c r="C18" s="99"/>
      <c r="D18" s="64">
        <f>D9*D8</f>
        <v>9720</v>
      </c>
    </row>
    <row r="19" spans="1:4" x14ac:dyDescent="0.25">
      <c r="A19" s="98" t="s">
        <v>1046</v>
      </c>
      <c r="B19" s="99"/>
      <c r="C19" s="99"/>
      <c r="D19" s="64">
        <f>D10*D11+D10*D12+D13</f>
        <v>20000</v>
      </c>
    </row>
    <row r="20" spans="1:4" x14ac:dyDescent="0.25">
      <c r="A20" s="98" t="s">
        <v>1047</v>
      </c>
      <c r="B20" s="99"/>
      <c r="C20" s="99"/>
      <c r="D20" s="64">
        <f>D16+D17+D18+D19</f>
        <v>238220</v>
      </c>
    </row>
    <row r="21" spans="1:4" x14ac:dyDescent="0.25">
      <c r="A21" s="98" t="s">
        <v>1048</v>
      </c>
      <c r="B21" s="99"/>
      <c r="C21" s="99"/>
      <c r="D21" s="64">
        <f>D10-D20</f>
        <v>-38220</v>
      </c>
    </row>
    <row r="22" spans="1:4" x14ac:dyDescent="0.25">
      <c r="A22" s="98" t="s">
        <v>1002</v>
      </c>
      <c r="B22" s="99"/>
      <c r="C22" s="99"/>
      <c r="D22" s="65">
        <f>IF(D20=0,0,D21/D20)</f>
        <v>-0.16043992947695407</v>
      </c>
    </row>
    <row r="23" spans="1:4" x14ac:dyDescent="0.25">
      <c r="A23" s="98" t="s">
        <v>1049</v>
      </c>
      <c r="B23" s="99"/>
      <c r="C23" s="99"/>
      <c r="D23" s="65">
        <f>IF(D8=0,0,(1+D22)^(12/D8)-1)</f>
        <v>-0.20798081703024429</v>
      </c>
    </row>
    <row r="24" spans="1:4" x14ac:dyDescent="0.25">
      <c r="A24" s="98" t="s">
        <v>1024</v>
      </c>
      <c r="B24" s="99"/>
      <c r="C24" s="99"/>
      <c r="D24" s="66" t="str">
        <f>IF(D21&gt;30000,"STRONG FLIP",IF(D21&gt;15000,"MARGINAL FLIP","DO NOT FLIP"))</f>
        <v>DO NOT FLIP</v>
      </c>
    </row>
  </sheetData>
  <mergeCells count="22">
    <mergeCell ref="A15:F15"/>
    <mergeCell ref="A18:C18"/>
    <mergeCell ref="A21:C21"/>
    <mergeCell ref="A12:C12"/>
    <mergeCell ref="A3:F3"/>
    <mergeCell ref="A5:C5"/>
    <mergeCell ref="A24:C24"/>
    <mergeCell ref="A11:C11"/>
    <mergeCell ref="A1:F1"/>
    <mergeCell ref="A6:C6"/>
    <mergeCell ref="A7:C7"/>
    <mergeCell ref="A16:C16"/>
    <mergeCell ref="A23:C23"/>
    <mergeCell ref="A8:C8"/>
    <mergeCell ref="A22:C22"/>
    <mergeCell ref="A17:C17"/>
    <mergeCell ref="A4:C4"/>
    <mergeCell ref="A20:C20"/>
    <mergeCell ref="A10:C10"/>
    <mergeCell ref="A13:C13"/>
    <mergeCell ref="A19:C19"/>
    <mergeCell ref="A9:C9"/>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A0DAD"/>
  </sheetPr>
  <dimension ref="A1:F31"/>
  <sheetViews>
    <sheetView workbookViewId="0">
      <pane ySplit="3" topLeftCell="A4" activePane="bottomLeft" state="frozen"/>
      <selection pane="bottomLeft" sqref="A1:F1"/>
    </sheetView>
  </sheetViews>
  <sheetFormatPr defaultRowHeight="15" x14ac:dyDescent="0.25"/>
  <cols>
    <col min="1" max="1" width="32" customWidth="1"/>
    <col min="2" max="2" width="18" customWidth="1"/>
    <col min="3" max="3" width="12" customWidth="1"/>
    <col min="4" max="4" width="18" customWidth="1"/>
    <col min="5" max="6" width="14" customWidth="1"/>
  </cols>
  <sheetData>
    <row r="1" spans="1:6" ht="27.95" customHeight="1" x14ac:dyDescent="0.25">
      <c r="A1" s="84" t="s">
        <v>1050</v>
      </c>
      <c r="B1" s="81"/>
      <c r="C1" s="81"/>
      <c r="D1" s="81"/>
      <c r="E1" s="81"/>
      <c r="F1" s="81"/>
    </row>
    <row r="2" spans="1:6" ht="6" customHeight="1" x14ac:dyDescent="0.25"/>
    <row r="3" spans="1:6" x14ac:dyDescent="0.25">
      <c r="A3" s="87" t="s">
        <v>1051</v>
      </c>
      <c r="B3" s="81"/>
      <c r="C3" s="81"/>
      <c r="D3" s="81"/>
      <c r="E3" s="81"/>
      <c r="F3" s="81"/>
    </row>
    <row r="4" spans="1:6" x14ac:dyDescent="0.25">
      <c r="A4" s="88" t="s">
        <v>1012</v>
      </c>
      <c r="B4" s="97"/>
      <c r="C4" s="97"/>
      <c r="D4" s="19">
        <v>114000</v>
      </c>
    </row>
    <row r="5" spans="1:6" x14ac:dyDescent="0.25">
      <c r="A5" s="95" t="s">
        <v>1052</v>
      </c>
      <c r="B5" s="96"/>
      <c r="C5" s="96"/>
      <c r="D5" s="18">
        <v>4500</v>
      </c>
    </row>
    <row r="6" spans="1:6" x14ac:dyDescent="0.25">
      <c r="A6" s="88" t="s">
        <v>1053</v>
      </c>
      <c r="B6" s="97"/>
      <c r="C6" s="97"/>
      <c r="D6" s="19">
        <v>90000</v>
      </c>
    </row>
    <row r="7" spans="1:6" x14ac:dyDescent="0.25">
      <c r="A7" s="95" t="s">
        <v>1054</v>
      </c>
      <c r="B7" s="96"/>
      <c r="C7" s="96"/>
      <c r="D7" s="18">
        <v>200000</v>
      </c>
    </row>
    <row r="8" spans="1:6" x14ac:dyDescent="0.25">
      <c r="A8" s="88" t="s">
        <v>1055</v>
      </c>
      <c r="B8" s="97"/>
      <c r="C8" s="97"/>
      <c r="D8" s="19">
        <v>1400</v>
      </c>
    </row>
    <row r="9" spans="1:6" x14ac:dyDescent="0.25">
      <c r="A9" s="95" t="s">
        <v>1056</v>
      </c>
      <c r="B9" s="96"/>
      <c r="C9" s="96"/>
      <c r="D9" s="67">
        <v>0.05</v>
      </c>
    </row>
    <row r="10" spans="1:6" x14ac:dyDescent="0.25">
      <c r="A10" s="88" t="s">
        <v>1057</v>
      </c>
      <c r="B10" s="97"/>
      <c r="C10" s="97"/>
      <c r="D10" s="68">
        <v>0.35</v>
      </c>
    </row>
    <row r="11" spans="1:6" x14ac:dyDescent="0.25">
      <c r="A11" s="95" t="s">
        <v>1058</v>
      </c>
      <c r="B11" s="96"/>
      <c r="C11" s="96"/>
      <c r="D11" s="67">
        <v>0.75</v>
      </c>
    </row>
    <row r="12" spans="1:6" x14ac:dyDescent="0.25">
      <c r="A12" s="88" t="s">
        <v>1059</v>
      </c>
      <c r="B12" s="97"/>
      <c r="C12" s="97"/>
      <c r="D12" s="68">
        <v>7.0000000000000007E-2</v>
      </c>
    </row>
    <row r="13" spans="1:6" x14ac:dyDescent="0.25">
      <c r="A13" s="95" t="s">
        <v>1060</v>
      </c>
      <c r="B13" s="96"/>
      <c r="C13" s="96"/>
      <c r="D13" s="18">
        <v>30</v>
      </c>
    </row>
    <row r="14" spans="1:6" x14ac:dyDescent="0.25">
      <c r="A14" s="88" t="s">
        <v>1061</v>
      </c>
      <c r="B14" s="97"/>
      <c r="C14" s="97"/>
      <c r="D14" s="19">
        <v>9720</v>
      </c>
    </row>
    <row r="16" spans="1:6" x14ac:dyDescent="0.25">
      <c r="A16" s="87" t="s">
        <v>1062</v>
      </c>
      <c r="B16" s="81"/>
      <c r="C16" s="81"/>
      <c r="D16" s="81"/>
      <c r="E16" s="81"/>
      <c r="F16" s="81"/>
    </row>
    <row r="17" spans="1:4" x14ac:dyDescent="0.25">
      <c r="A17" s="98" t="s">
        <v>1063</v>
      </c>
      <c r="B17" s="99"/>
      <c r="C17" s="99"/>
      <c r="D17" s="64">
        <f>D4+D5+D6+D14</f>
        <v>218220</v>
      </c>
    </row>
    <row r="18" spans="1:4" x14ac:dyDescent="0.25">
      <c r="A18" s="98" t="s">
        <v>1064</v>
      </c>
      <c r="B18" s="99"/>
      <c r="C18" s="99"/>
      <c r="D18" s="64">
        <f>D7*D11</f>
        <v>150000</v>
      </c>
    </row>
    <row r="19" spans="1:4" x14ac:dyDescent="0.25">
      <c r="A19" s="98" t="s">
        <v>1065</v>
      </c>
      <c r="B19" s="99"/>
      <c r="C19" s="99"/>
      <c r="D19" s="64">
        <f>-PMT(D12/12,D13*12,D18)</f>
        <v>997.95374276877487</v>
      </c>
    </row>
    <row r="20" spans="1:4" x14ac:dyDescent="0.25">
      <c r="A20" s="98" t="s">
        <v>1066</v>
      </c>
      <c r="B20" s="99"/>
      <c r="C20" s="99"/>
      <c r="D20" s="64">
        <f>D8*(1-D9)</f>
        <v>1330</v>
      </c>
    </row>
    <row r="21" spans="1:4" x14ac:dyDescent="0.25">
      <c r="A21" s="98" t="s">
        <v>1067</v>
      </c>
      <c r="B21" s="99"/>
      <c r="C21" s="99"/>
      <c r="D21" s="64">
        <f>D20*D10</f>
        <v>465.49999999999994</v>
      </c>
    </row>
    <row r="22" spans="1:4" x14ac:dyDescent="0.25">
      <c r="A22" s="98" t="s">
        <v>1068</v>
      </c>
      <c r="B22" s="99"/>
      <c r="C22" s="99"/>
      <c r="D22" s="64">
        <f>D20-D21</f>
        <v>864.5</v>
      </c>
    </row>
    <row r="23" spans="1:4" x14ac:dyDescent="0.25">
      <c r="A23" s="98" t="s">
        <v>1069</v>
      </c>
      <c r="B23" s="99"/>
      <c r="C23" s="99"/>
      <c r="D23" s="64">
        <f>D22-D19</f>
        <v>-133.45374276877487</v>
      </c>
    </row>
    <row r="24" spans="1:4" x14ac:dyDescent="0.25">
      <c r="A24" s="98" t="s">
        <v>1070</v>
      </c>
      <c r="B24" s="99"/>
      <c r="C24" s="99"/>
      <c r="D24" s="64">
        <f>D23*12</f>
        <v>-1601.4449132252985</v>
      </c>
    </row>
    <row r="25" spans="1:4" x14ac:dyDescent="0.25">
      <c r="A25" s="98" t="s">
        <v>1071</v>
      </c>
      <c r="B25" s="99"/>
      <c r="C25" s="99"/>
      <c r="D25" s="64">
        <f>D17-D18</f>
        <v>68220</v>
      </c>
    </row>
    <row r="26" spans="1:4" x14ac:dyDescent="0.25">
      <c r="A26" s="98" t="s">
        <v>1072</v>
      </c>
      <c r="B26" s="99"/>
      <c r="C26" s="99"/>
      <c r="D26" s="66">
        <f>IF(D25&gt;0,D24/D25,"INFINITE — Full Refi")</f>
        <v>-2.347471288808705E-2</v>
      </c>
    </row>
    <row r="27" spans="1:4" x14ac:dyDescent="0.25">
      <c r="A27" s="98" t="s">
        <v>1073</v>
      </c>
      <c r="B27" s="99"/>
      <c r="C27" s="99"/>
      <c r="D27" s="65">
        <f>IF(D7&gt;0,(D22*12)/D7,0)</f>
        <v>5.1869999999999999E-2</v>
      </c>
    </row>
    <row r="28" spans="1:4" x14ac:dyDescent="0.25">
      <c r="A28" s="98" t="s">
        <v>800</v>
      </c>
      <c r="B28" s="99"/>
      <c r="C28" s="99"/>
      <c r="D28" s="69">
        <f>IF(D19&gt;0,D22/D19,0)</f>
        <v>0.86627261660594224</v>
      </c>
    </row>
    <row r="29" spans="1:4" x14ac:dyDescent="0.25">
      <c r="A29" s="98" t="s">
        <v>1074</v>
      </c>
      <c r="B29" s="99"/>
      <c r="C29" s="99"/>
      <c r="D29" s="64">
        <f>D7-(D4+D5+D6)</f>
        <v>-8500</v>
      </c>
    </row>
    <row r="30" spans="1:4" x14ac:dyDescent="0.25">
      <c r="A30" s="98" t="s">
        <v>1075</v>
      </c>
      <c r="B30" s="99"/>
      <c r="C30" s="99"/>
      <c r="D30" s="64">
        <f>D18-(D4+D5+D6)</f>
        <v>-58500</v>
      </c>
    </row>
    <row r="31" spans="1:4" x14ac:dyDescent="0.25">
      <c r="A31" s="98" t="s">
        <v>1024</v>
      </c>
      <c r="B31" s="99"/>
      <c r="C31" s="99"/>
      <c r="D31" s="66" t="str">
        <f>IF(D22/D19&gt;=1.25,IF(D23&gt;=0,"STRONG BRRR — GO","BRRR WORKS — WEAK CASH FLOW"),"DSCR TOO LOW — RENEGOTIATE")</f>
        <v>DSCR TOO LOW — RENEGOTIATE</v>
      </c>
    </row>
  </sheetData>
  <mergeCells count="29">
    <mergeCell ref="A27:C27"/>
    <mergeCell ref="A21:C21"/>
    <mergeCell ref="A3:F3"/>
    <mergeCell ref="A26:C26"/>
    <mergeCell ref="A5:C5"/>
    <mergeCell ref="A23:C23"/>
    <mergeCell ref="A8:C8"/>
    <mergeCell ref="A14:C14"/>
    <mergeCell ref="A22:C22"/>
    <mergeCell ref="A17:C17"/>
    <mergeCell ref="A16:F16"/>
    <mergeCell ref="A25:C25"/>
    <mergeCell ref="A18:C18"/>
    <mergeCell ref="A1:F1"/>
    <mergeCell ref="A6:C6"/>
    <mergeCell ref="A7:C7"/>
    <mergeCell ref="A31:C31"/>
    <mergeCell ref="A9:C9"/>
    <mergeCell ref="A30:C30"/>
    <mergeCell ref="A24:C24"/>
    <mergeCell ref="A11:C11"/>
    <mergeCell ref="A29:C29"/>
    <mergeCell ref="A4:C4"/>
    <mergeCell ref="A20:C20"/>
    <mergeCell ref="A10:C10"/>
    <mergeCell ref="A28:C28"/>
    <mergeCell ref="A13:C13"/>
    <mergeCell ref="A19:C19"/>
    <mergeCell ref="A12:C12"/>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A0DAD"/>
  </sheetPr>
  <dimension ref="A1:F21"/>
  <sheetViews>
    <sheetView workbookViewId="0">
      <pane ySplit="3" topLeftCell="A4" activePane="bottomLeft" state="frozen"/>
      <selection pane="bottomLeft" sqref="A1:F1"/>
    </sheetView>
  </sheetViews>
  <sheetFormatPr defaultRowHeight="15" x14ac:dyDescent="0.25"/>
  <cols>
    <col min="1" max="1" width="30" customWidth="1"/>
    <col min="2" max="2" width="18" customWidth="1"/>
    <col min="3" max="3" width="12" customWidth="1"/>
    <col min="4" max="4" width="18" customWidth="1"/>
    <col min="5" max="6" width="14" customWidth="1"/>
  </cols>
  <sheetData>
    <row r="1" spans="1:6" ht="27.95" customHeight="1" x14ac:dyDescent="0.25">
      <c r="A1" s="84" t="s">
        <v>1076</v>
      </c>
      <c r="B1" s="81"/>
      <c r="C1" s="81"/>
      <c r="D1" s="81"/>
      <c r="E1" s="81"/>
      <c r="F1" s="81"/>
    </row>
    <row r="3" spans="1:6" x14ac:dyDescent="0.25">
      <c r="A3" s="87" t="s">
        <v>1077</v>
      </c>
      <c r="B3" s="81"/>
      <c r="C3" s="81"/>
      <c r="D3" s="81"/>
      <c r="E3" s="81"/>
      <c r="F3" s="81"/>
    </row>
    <row r="4" spans="1:6" x14ac:dyDescent="0.25">
      <c r="A4" s="88" t="s">
        <v>1078</v>
      </c>
      <c r="B4" s="97"/>
      <c r="C4" s="97"/>
      <c r="D4" s="19">
        <v>0</v>
      </c>
    </row>
    <row r="5" spans="1:6" x14ac:dyDescent="0.25">
      <c r="A5" s="95" t="s">
        <v>1079</v>
      </c>
      <c r="B5" s="96"/>
      <c r="C5" s="96"/>
      <c r="D5" s="18">
        <v>0</v>
      </c>
    </row>
    <row r="6" spans="1:6" x14ac:dyDescent="0.25">
      <c r="A6" s="88" t="s">
        <v>1080</v>
      </c>
      <c r="B6" s="97"/>
      <c r="C6" s="97"/>
      <c r="D6" s="19">
        <v>0</v>
      </c>
    </row>
    <row r="7" spans="1:6" x14ac:dyDescent="0.25">
      <c r="A7" s="95" t="s">
        <v>1081</v>
      </c>
      <c r="B7" s="96"/>
      <c r="C7" s="96"/>
      <c r="D7" s="18">
        <v>0</v>
      </c>
    </row>
    <row r="8" spans="1:6" x14ac:dyDescent="0.25">
      <c r="A8" s="88" t="s">
        <v>1082</v>
      </c>
      <c r="B8" s="97"/>
      <c r="C8" s="97"/>
      <c r="D8" s="68">
        <v>0.1</v>
      </c>
    </row>
    <row r="9" spans="1:6" x14ac:dyDescent="0.25">
      <c r="A9" s="95" t="s">
        <v>1083</v>
      </c>
      <c r="B9" s="96"/>
      <c r="C9" s="96"/>
      <c r="D9" s="18">
        <v>1</v>
      </c>
    </row>
    <row r="10" spans="1:6" x14ac:dyDescent="0.25">
      <c r="A10" s="88" t="s">
        <v>1084</v>
      </c>
      <c r="B10" s="97"/>
      <c r="C10" s="97"/>
      <c r="D10" s="19">
        <v>0</v>
      </c>
    </row>
    <row r="12" spans="1:6" x14ac:dyDescent="0.25">
      <c r="A12" s="87" t="s">
        <v>1085</v>
      </c>
      <c r="B12" s="81"/>
      <c r="C12" s="81"/>
      <c r="D12" s="81"/>
      <c r="E12" s="81"/>
      <c r="F12" s="81"/>
    </row>
    <row r="13" spans="1:6" x14ac:dyDescent="0.25">
      <c r="A13" s="98" t="s">
        <v>1086</v>
      </c>
      <c r="B13" s="99"/>
      <c r="C13" s="99"/>
      <c r="D13" s="64">
        <f>D4+D5+D6+D7</f>
        <v>0</v>
      </c>
    </row>
    <row r="14" spans="1:6" x14ac:dyDescent="0.25">
      <c r="A14" s="98" t="s">
        <v>1087</v>
      </c>
      <c r="B14" s="99"/>
      <c r="C14" s="99"/>
      <c r="D14" s="64">
        <f>D13*D8</f>
        <v>0</v>
      </c>
    </row>
    <row r="15" spans="1:6" x14ac:dyDescent="0.25">
      <c r="A15" s="98" t="s">
        <v>1088</v>
      </c>
      <c r="B15" s="99"/>
      <c r="C15" s="99"/>
      <c r="D15" s="64">
        <f>D13+D14</f>
        <v>0</v>
      </c>
    </row>
    <row r="16" spans="1:6" x14ac:dyDescent="0.25">
      <c r="A16" s="98" t="s">
        <v>1089</v>
      </c>
      <c r="B16" s="99"/>
      <c r="C16" s="99"/>
      <c r="D16" s="64">
        <f>IF(D9&gt;0,D15/D9,0)</f>
        <v>0</v>
      </c>
    </row>
    <row r="17" spans="1:4" x14ac:dyDescent="0.25">
      <c r="A17" s="98" t="s">
        <v>1090</v>
      </c>
      <c r="B17" s="99"/>
      <c r="C17" s="99"/>
      <c r="D17" s="64">
        <f>D10*D9</f>
        <v>0</v>
      </c>
    </row>
    <row r="18" spans="1:4" x14ac:dyDescent="0.25">
      <c r="A18" s="98" t="s">
        <v>1091</v>
      </c>
      <c r="B18" s="99"/>
      <c r="C18" s="99"/>
      <c r="D18" s="64">
        <f>D17-D15</f>
        <v>0</v>
      </c>
    </row>
    <row r="19" spans="1:4" x14ac:dyDescent="0.25">
      <c r="A19" s="98" t="s">
        <v>1092</v>
      </c>
      <c r="B19" s="99"/>
      <c r="C19" s="99"/>
      <c r="D19" s="65">
        <f>IF(D17=0,0,D18/D17)</f>
        <v>0</v>
      </c>
    </row>
    <row r="20" spans="1:4" x14ac:dyDescent="0.25">
      <c r="A20" s="98" t="s">
        <v>1002</v>
      </c>
      <c r="B20" s="99"/>
      <c r="C20" s="99"/>
      <c r="D20" s="65">
        <f>IF(D15=0,0,D18/D15)</f>
        <v>0</v>
      </c>
    </row>
    <row r="21" spans="1:4" x14ac:dyDescent="0.25">
      <c r="A21" s="98" t="s">
        <v>1024</v>
      </c>
      <c r="B21" s="99"/>
      <c r="C21" s="99"/>
      <c r="D21" s="66" t="str">
        <f>IF(D19&gt;0.2,"VIABLE PROJECT",IF(D19&gt;0.1,"MARGINAL","NOT VIABLE"))</f>
        <v>NOT VIABLE</v>
      </c>
    </row>
  </sheetData>
  <mergeCells count="19">
    <mergeCell ref="A21:C21"/>
    <mergeCell ref="A3:F3"/>
    <mergeCell ref="A5:C5"/>
    <mergeCell ref="A8:C8"/>
    <mergeCell ref="A14:C14"/>
    <mergeCell ref="A17:C17"/>
    <mergeCell ref="A4:C4"/>
    <mergeCell ref="A20:C20"/>
    <mergeCell ref="A10:C10"/>
    <mergeCell ref="A13:C13"/>
    <mergeCell ref="A19:C19"/>
    <mergeCell ref="A9:C9"/>
    <mergeCell ref="A15:C15"/>
    <mergeCell ref="A1:F1"/>
    <mergeCell ref="A6:C6"/>
    <mergeCell ref="A7:C7"/>
    <mergeCell ref="A16:C16"/>
    <mergeCell ref="A18:C18"/>
    <mergeCell ref="A12:F12"/>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A0DAD"/>
  </sheetPr>
  <dimension ref="A1:F18"/>
  <sheetViews>
    <sheetView workbookViewId="0">
      <pane ySplit="3" topLeftCell="A4" activePane="bottomLeft" state="frozen"/>
      <selection pane="bottomLeft" sqref="A1:F1"/>
    </sheetView>
  </sheetViews>
  <sheetFormatPr defaultRowHeight="15" x14ac:dyDescent="0.25"/>
  <cols>
    <col min="1" max="1" width="30" customWidth="1"/>
    <col min="2" max="2" width="18" customWidth="1"/>
    <col min="3" max="3" width="12" customWidth="1"/>
    <col min="4" max="4" width="18" customWidth="1"/>
    <col min="5" max="6" width="14" customWidth="1"/>
  </cols>
  <sheetData>
    <row r="1" spans="1:6" ht="27.95" customHeight="1" x14ac:dyDescent="0.25">
      <c r="A1" s="84" t="s">
        <v>1093</v>
      </c>
      <c r="B1" s="81"/>
      <c r="C1" s="81"/>
      <c r="D1" s="81"/>
      <c r="E1" s="81"/>
      <c r="F1" s="81"/>
    </row>
    <row r="3" spans="1:6" x14ac:dyDescent="0.25">
      <c r="A3" s="87" t="s">
        <v>1077</v>
      </c>
      <c r="B3" s="81"/>
      <c r="C3" s="81"/>
      <c r="D3" s="81"/>
      <c r="E3" s="81"/>
      <c r="F3" s="81"/>
    </row>
    <row r="4" spans="1:6" x14ac:dyDescent="0.25">
      <c r="A4" s="88" t="s">
        <v>1012</v>
      </c>
      <c r="B4" s="97"/>
      <c r="C4" s="97"/>
      <c r="D4" s="19">
        <v>0</v>
      </c>
    </row>
    <row r="5" spans="1:6" x14ac:dyDescent="0.25">
      <c r="A5" s="95" t="s">
        <v>1094</v>
      </c>
      <c r="B5" s="96"/>
      <c r="C5" s="96"/>
      <c r="D5" s="18">
        <v>0</v>
      </c>
    </row>
    <row r="6" spans="1:6" x14ac:dyDescent="0.25">
      <c r="A6" s="88" t="s">
        <v>1095</v>
      </c>
      <c r="B6" s="97"/>
      <c r="C6" s="97"/>
      <c r="D6" s="19">
        <v>0</v>
      </c>
    </row>
    <row r="7" spans="1:6" x14ac:dyDescent="0.25">
      <c r="A7" s="95" t="s">
        <v>1096</v>
      </c>
      <c r="B7" s="96"/>
      <c r="C7" s="96"/>
      <c r="D7" s="18">
        <v>12</v>
      </c>
    </row>
    <row r="8" spans="1:6" x14ac:dyDescent="0.25">
      <c r="A8" s="88" t="s">
        <v>1097</v>
      </c>
      <c r="B8" s="97"/>
      <c r="C8" s="97"/>
      <c r="D8" s="19">
        <v>0</v>
      </c>
    </row>
    <row r="9" spans="1:6" x14ac:dyDescent="0.25">
      <c r="A9" s="95" t="s">
        <v>1098</v>
      </c>
      <c r="B9" s="96"/>
      <c r="C9" s="96"/>
      <c r="D9" s="18">
        <v>0</v>
      </c>
    </row>
    <row r="11" spans="1:6" x14ac:dyDescent="0.25">
      <c r="A11" s="87" t="s">
        <v>1099</v>
      </c>
      <c r="B11" s="81"/>
      <c r="C11" s="81"/>
      <c r="D11" s="81"/>
      <c r="E11" s="81"/>
      <c r="F11" s="81"/>
    </row>
    <row r="12" spans="1:6" x14ac:dyDescent="0.25">
      <c r="A12" s="98" t="s">
        <v>1100</v>
      </c>
      <c r="B12" s="99"/>
      <c r="C12" s="99"/>
      <c r="D12" s="64">
        <f>D6*D7</f>
        <v>0</v>
      </c>
    </row>
    <row r="13" spans="1:6" x14ac:dyDescent="0.25">
      <c r="A13" s="98" t="s">
        <v>1101</v>
      </c>
      <c r="B13" s="99"/>
      <c r="C13" s="99"/>
      <c r="D13" s="64">
        <f>D4+D5+D12</f>
        <v>0</v>
      </c>
    </row>
    <row r="14" spans="1:6" x14ac:dyDescent="0.25">
      <c r="A14" s="98" t="s">
        <v>1102</v>
      </c>
      <c r="B14" s="99"/>
      <c r="C14" s="99"/>
      <c r="D14" s="64">
        <f>D8-D13</f>
        <v>0</v>
      </c>
    </row>
    <row r="15" spans="1:6" x14ac:dyDescent="0.25">
      <c r="A15" s="98" t="s">
        <v>1103</v>
      </c>
      <c r="B15" s="99"/>
      <c r="C15" s="99"/>
      <c r="D15" s="65">
        <f>IF(D13=0,0,D14/D13)</f>
        <v>0</v>
      </c>
    </row>
    <row r="16" spans="1:6" x14ac:dyDescent="0.25">
      <c r="A16" s="98" t="s">
        <v>1104</v>
      </c>
      <c r="B16" s="99"/>
      <c r="C16" s="99"/>
      <c r="D16" s="64">
        <f>D9-(D5+D6*3)</f>
        <v>0</v>
      </c>
    </row>
    <row r="17" spans="1:4" x14ac:dyDescent="0.25">
      <c r="A17" s="98" t="s">
        <v>1105</v>
      </c>
      <c r="B17" s="99"/>
      <c r="C17" s="99"/>
      <c r="D17" s="65">
        <f>IF(D4=0,0,D16/D4)</f>
        <v>0</v>
      </c>
    </row>
    <row r="18" spans="1:4" x14ac:dyDescent="0.25">
      <c r="A18" s="98" t="s">
        <v>1049</v>
      </c>
      <c r="B18" s="99"/>
      <c r="C18" s="99"/>
      <c r="D18" s="65">
        <f>IF(D7=0,0,(1+D14/IF(D13=0,1,D13))^(12/D7)-1)</f>
        <v>0</v>
      </c>
    </row>
  </sheetData>
  <mergeCells count="16">
    <mergeCell ref="A5:C5"/>
    <mergeCell ref="A1:F1"/>
    <mergeCell ref="A8:C8"/>
    <mergeCell ref="A6:C6"/>
    <mergeCell ref="A12:C12"/>
    <mergeCell ref="A3:F3"/>
    <mergeCell ref="A4:C4"/>
    <mergeCell ref="A14:C14"/>
    <mergeCell ref="A9:C9"/>
    <mergeCell ref="A17:C17"/>
    <mergeCell ref="A18:C18"/>
    <mergeCell ref="A7:C7"/>
    <mergeCell ref="A16:C16"/>
    <mergeCell ref="A15:C15"/>
    <mergeCell ref="A11:F11"/>
    <mergeCell ref="A13:C13"/>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B0000"/>
  </sheetPr>
  <dimension ref="A1:N4"/>
  <sheetViews>
    <sheetView workbookViewId="0">
      <pane ySplit="3" topLeftCell="A4" activePane="bottomLeft" state="frozen"/>
      <selection pane="bottomLeft" sqref="A1:N1"/>
    </sheetView>
  </sheetViews>
  <sheetFormatPr defaultRowHeight="15" x14ac:dyDescent="0.25"/>
  <cols>
    <col min="1" max="1" width="12" customWidth="1"/>
    <col min="2" max="2" width="22" customWidth="1"/>
    <col min="3" max="3" width="18" customWidth="1"/>
    <col min="4" max="4" width="25" customWidth="1"/>
    <col min="5" max="5" width="16" customWidth="1"/>
    <col min="6" max="6" width="12" customWidth="1"/>
    <col min="7" max="7" width="18" customWidth="1"/>
    <col min="8" max="8" width="16" customWidth="1"/>
    <col min="9" max="9" width="18" customWidth="1"/>
    <col min="10" max="11" width="14" customWidth="1"/>
    <col min="12" max="12" width="16" customWidth="1"/>
    <col min="13" max="13" width="10" customWidth="1"/>
    <col min="14" max="14" width="35" customWidth="1"/>
  </cols>
  <sheetData>
    <row r="1" spans="1:14" ht="27.95" customHeight="1" x14ac:dyDescent="0.25">
      <c r="A1" s="84" t="s">
        <v>1106</v>
      </c>
      <c r="B1" s="81"/>
      <c r="C1" s="81"/>
      <c r="D1" s="81"/>
      <c r="E1" s="81"/>
      <c r="F1" s="81"/>
      <c r="G1" s="81"/>
      <c r="H1" s="81"/>
      <c r="I1" s="81"/>
      <c r="J1" s="81"/>
      <c r="K1" s="81"/>
      <c r="L1" s="81"/>
      <c r="M1" s="81"/>
      <c r="N1" s="81"/>
    </row>
    <row r="2" spans="1:14" ht="6" customHeight="1" x14ac:dyDescent="0.25"/>
    <row r="3" spans="1:14" ht="25.5" x14ac:dyDescent="0.25">
      <c r="A3" s="1" t="s">
        <v>1107</v>
      </c>
      <c r="B3" s="1" t="s">
        <v>30</v>
      </c>
      <c r="C3" s="1" t="s">
        <v>244</v>
      </c>
      <c r="D3" s="1" t="s">
        <v>692</v>
      </c>
      <c r="E3" s="1" t="s">
        <v>693</v>
      </c>
      <c r="F3" s="1" t="s">
        <v>1108</v>
      </c>
      <c r="G3" s="1" t="s">
        <v>1109</v>
      </c>
      <c r="H3" s="1" t="s">
        <v>1110</v>
      </c>
      <c r="I3" s="1" t="s">
        <v>1111</v>
      </c>
      <c r="J3" s="1" t="s">
        <v>1112</v>
      </c>
      <c r="K3" s="1" t="s">
        <v>1113</v>
      </c>
      <c r="L3" s="1" t="s">
        <v>620</v>
      </c>
      <c r="M3" s="1" t="s">
        <v>35</v>
      </c>
      <c r="N3" s="1" t="s">
        <v>3</v>
      </c>
    </row>
    <row r="4" spans="1:14" x14ac:dyDescent="0.25">
      <c r="A4" s="2" t="s">
        <v>1114</v>
      </c>
      <c r="B4" s="2" t="s">
        <v>1115</v>
      </c>
      <c r="C4" s="2" t="s">
        <v>1116</v>
      </c>
      <c r="D4" s="2"/>
      <c r="E4" s="2"/>
      <c r="F4" s="2" t="s">
        <v>250</v>
      </c>
      <c r="G4" s="18">
        <v>50000</v>
      </c>
      <c r="H4" s="18">
        <v>0</v>
      </c>
      <c r="I4" s="18">
        <v>0</v>
      </c>
      <c r="J4" s="44">
        <v>0.08</v>
      </c>
      <c r="K4" s="44">
        <v>0.3</v>
      </c>
      <c r="L4" s="36">
        <v>0</v>
      </c>
      <c r="M4" s="2" t="s">
        <v>41</v>
      </c>
      <c r="N4" s="2" t="s">
        <v>1117</v>
      </c>
    </row>
  </sheetData>
  <mergeCells count="1">
    <mergeCell ref="A1:N1"/>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B0000"/>
  </sheetPr>
  <dimension ref="A1:K7"/>
  <sheetViews>
    <sheetView workbookViewId="0">
      <pane ySplit="3" topLeftCell="A4" activePane="bottomLeft" state="frozen"/>
      <selection pane="bottomLeft" sqref="A1:K1"/>
    </sheetView>
  </sheetViews>
  <sheetFormatPr defaultRowHeight="15" x14ac:dyDescent="0.25"/>
  <cols>
    <col min="1" max="1" width="14" customWidth="1"/>
    <col min="2" max="2" width="18" customWidth="1"/>
    <col min="3" max="3" width="10" customWidth="1"/>
    <col min="4" max="4" width="16" customWidth="1"/>
    <col min="5" max="8" width="10" customWidth="1"/>
    <col min="9" max="10" width="16" customWidth="1"/>
    <col min="11" max="11" width="35" customWidth="1"/>
  </cols>
  <sheetData>
    <row r="1" spans="1:11" ht="27.95" customHeight="1" x14ac:dyDescent="0.25">
      <c r="A1" s="84" t="s">
        <v>1118</v>
      </c>
      <c r="B1" s="81"/>
      <c r="C1" s="81"/>
      <c r="D1" s="81"/>
      <c r="E1" s="81"/>
      <c r="F1" s="81"/>
      <c r="G1" s="81"/>
      <c r="H1" s="81"/>
      <c r="I1" s="81"/>
      <c r="J1" s="81"/>
      <c r="K1" s="81"/>
    </row>
    <row r="2" spans="1:11" ht="6" customHeight="1" x14ac:dyDescent="0.25"/>
    <row r="3" spans="1:11" ht="25.5" x14ac:dyDescent="0.25">
      <c r="A3" s="1" t="s">
        <v>1119</v>
      </c>
      <c r="B3" s="1" t="s">
        <v>1120</v>
      </c>
      <c r="C3" s="1" t="s">
        <v>1121</v>
      </c>
      <c r="D3" s="1" t="s">
        <v>634</v>
      </c>
      <c r="E3" s="1" t="s">
        <v>1122</v>
      </c>
      <c r="F3" s="1" t="s">
        <v>1123</v>
      </c>
      <c r="G3" s="1" t="s">
        <v>1124</v>
      </c>
      <c r="H3" s="1" t="s">
        <v>1125</v>
      </c>
      <c r="I3" s="1" t="s">
        <v>797</v>
      </c>
      <c r="J3" s="1" t="s">
        <v>1126</v>
      </c>
      <c r="K3" s="1" t="s">
        <v>3</v>
      </c>
    </row>
    <row r="4" spans="1:11" x14ac:dyDescent="0.25">
      <c r="A4" s="2" t="s">
        <v>1127</v>
      </c>
      <c r="B4" s="2" t="s">
        <v>1128</v>
      </c>
      <c r="C4" s="2" t="s">
        <v>1129</v>
      </c>
      <c r="D4" s="18">
        <v>114000</v>
      </c>
      <c r="E4" s="67">
        <v>6.5000000000000002E-2</v>
      </c>
      <c r="F4" s="2" t="s">
        <v>1130</v>
      </c>
      <c r="G4" s="44">
        <f>D4/200000</f>
        <v>0.56999999999999995</v>
      </c>
      <c r="H4" s="2" t="s">
        <v>1131</v>
      </c>
      <c r="I4" s="18">
        <v>750</v>
      </c>
      <c r="J4" s="36">
        <f>I4*360</f>
        <v>270000</v>
      </c>
      <c r="K4" s="2" t="s">
        <v>1132</v>
      </c>
    </row>
    <row r="5" spans="1:11" x14ac:dyDescent="0.25">
      <c r="A5" s="4" t="s">
        <v>338</v>
      </c>
      <c r="B5" s="4" t="s">
        <v>1133</v>
      </c>
      <c r="C5" s="4" t="s">
        <v>338</v>
      </c>
      <c r="D5" s="19">
        <v>18500</v>
      </c>
      <c r="E5" s="68">
        <v>0</v>
      </c>
      <c r="F5" s="4" t="s">
        <v>1134</v>
      </c>
      <c r="G5" s="45" t="s">
        <v>1134</v>
      </c>
      <c r="H5" s="4" t="s">
        <v>338</v>
      </c>
      <c r="I5" s="19">
        <v>0</v>
      </c>
      <c r="J5" s="4" t="s">
        <v>1134</v>
      </c>
      <c r="K5" s="4" t="s">
        <v>1135</v>
      </c>
    </row>
    <row r="7" spans="1:11" x14ac:dyDescent="0.25">
      <c r="A7" s="70" t="s">
        <v>1136</v>
      </c>
      <c r="B7" s="71"/>
      <c r="C7" s="71"/>
      <c r="D7" s="53">
        <f>SUM(D4:D6)</f>
        <v>132500</v>
      </c>
      <c r="E7" s="71"/>
      <c r="F7" s="71"/>
      <c r="G7" s="71"/>
      <c r="H7" s="71"/>
      <c r="I7" s="53">
        <f>SUM(I4:I6)</f>
        <v>750</v>
      </c>
      <c r="J7" s="71"/>
      <c r="K7" s="71"/>
    </row>
  </sheetData>
  <mergeCells count="1">
    <mergeCell ref="A1:K1"/>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B0000"/>
  </sheetPr>
  <dimension ref="A1:D20"/>
  <sheetViews>
    <sheetView workbookViewId="0">
      <selection sqref="A1:D1"/>
    </sheetView>
  </sheetViews>
  <sheetFormatPr defaultRowHeight="15" x14ac:dyDescent="0.25"/>
  <cols>
    <col min="1" max="1" width="30" customWidth="1"/>
    <col min="2" max="3" width="16" customWidth="1"/>
    <col min="4" max="4" width="18" customWidth="1"/>
  </cols>
  <sheetData>
    <row r="1" spans="1:4" ht="27.95" customHeight="1" x14ac:dyDescent="0.25">
      <c r="A1" s="84" t="s">
        <v>1137</v>
      </c>
      <c r="B1" s="81"/>
      <c r="C1" s="81"/>
      <c r="D1" s="81"/>
    </row>
    <row r="3" spans="1:4" x14ac:dyDescent="0.25">
      <c r="A3" s="87" t="s">
        <v>1138</v>
      </c>
      <c r="B3" s="81"/>
      <c r="C3" s="81"/>
      <c r="D3" s="81"/>
    </row>
    <row r="4" spans="1:4" x14ac:dyDescent="0.25">
      <c r="A4" s="4" t="s">
        <v>1139</v>
      </c>
      <c r="B4" s="29"/>
      <c r="C4" s="29"/>
      <c r="D4" s="19">
        <v>0</v>
      </c>
    </row>
    <row r="5" spans="1:4" x14ac:dyDescent="0.25">
      <c r="A5" s="2" t="s">
        <v>1140</v>
      </c>
      <c r="B5" s="28"/>
      <c r="C5" s="28"/>
      <c r="D5" s="18">
        <v>50000</v>
      </c>
    </row>
    <row r="6" spans="1:4" x14ac:dyDescent="0.25">
      <c r="A6" s="4" t="s">
        <v>1141</v>
      </c>
      <c r="B6" s="29"/>
      <c r="C6" s="29"/>
      <c r="D6" s="68">
        <v>0.08</v>
      </c>
    </row>
    <row r="7" spans="1:4" x14ac:dyDescent="0.25">
      <c r="A7" s="2" t="s">
        <v>1142</v>
      </c>
      <c r="B7" s="28"/>
      <c r="C7" s="28"/>
      <c r="D7" s="67">
        <v>0.3</v>
      </c>
    </row>
    <row r="8" spans="1:4" x14ac:dyDescent="0.25">
      <c r="A8" s="4" t="s">
        <v>1143</v>
      </c>
      <c r="B8" s="29"/>
      <c r="C8" s="29"/>
      <c r="D8" s="68">
        <v>0.7</v>
      </c>
    </row>
    <row r="9" spans="1:4" ht="9.9499999999999993" customHeight="1" x14ac:dyDescent="0.25"/>
    <row r="10" spans="1:4" x14ac:dyDescent="0.25">
      <c r="A10" s="94" t="s">
        <v>1144</v>
      </c>
      <c r="B10" s="81"/>
      <c r="C10" s="81"/>
      <c r="D10" s="81"/>
    </row>
    <row r="11" spans="1:4" x14ac:dyDescent="0.25">
      <c r="A11" s="100" t="s">
        <v>1145</v>
      </c>
      <c r="B11" s="101"/>
      <c r="C11" s="101"/>
      <c r="D11" s="64">
        <f>MIN(D4,D5)</f>
        <v>0</v>
      </c>
    </row>
    <row r="12" spans="1:4" x14ac:dyDescent="0.25">
      <c r="A12" s="88" t="s">
        <v>1146</v>
      </c>
      <c r="B12" s="97"/>
      <c r="C12" s="97"/>
      <c r="D12" s="35">
        <f>MAX(0,D4-D11)</f>
        <v>0</v>
      </c>
    </row>
    <row r="13" spans="1:4" x14ac:dyDescent="0.25">
      <c r="A13" s="100" t="s">
        <v>1147</v>
      </c>
      <c r="B13" s="101"/>
      <c r="C13" s="101"/>
      <c r="D13" s="64">
        <f>MIN(D12,D5*D6)</f>
        <v>0</v>
      </c>
    </row>
    <row r="14" spans="1:4" x14ac:dyDescent="0.25">
      <c r="A14" s="88" t="s">
        <v>1148</v>
      </c>
      <c r="B14" s="97"/>
      <c r="C14" s="97"/>
      <c r="D14" s="35">
        <f>MAX(0,D12-D13)</f>
        <v>0</v>
      </c>
    </row>
    <row r="15" spans="1:4" x14ac:dyDescent="0.25">
      <c r="A15" s="100" t="s">
        <v>1149</v>
      </c>
      <c r="B15" s="101"/>
      <c r="C15" s="101"/>
      <c r="D15" s="64">
        <f>D14*D7</f>
        <v>0</v>
      </c>
    </row>
    <row r="16" spans="1:4" x14ac:dyDescent="0.25">
      <c r="A16" s="88" t="s">
        <v>1150</v>
      </c>
      <c r="B16" s="97"/>
      <c r="C16" s="97"/>
      <c r="D16" s="35">
        <f>D14*D8</f>
        <v>0</v>
      </c>
    </row>
    <row r="18" spans="1:4" x14ac:dyDescent="0.25">
      <c r="A18" s="100" t="s">
        <v>1151</v>
      </c>
      <c r="B18" s="101"/>
      <c r="C18" s="101"/>
      <c r="D18" s="64">
        <f>D11+D13+D15</f>
        <v>0</v>
      </c>
    </row>
    <row r="19" spans="1:4" x14ac:dyDescent="0.25">
      <c r="A19" s="100" t="s">
        <v>1152</v>
      </c>
      <c r="B19" s="101"/>
      <c r="C19" s="101"/>
      <c r="D19" s="64">
        <f>D16</f>
        <v>0</v>
      </c>
    </row>
    <row r="20" spans="1:4" x14ac:dyDescent="0.25">
      <c r="A20" s="100" t="s">
        <v>1153</v>
      </c>
      <c r="B20" s="101"/>
      <c r="C20" s="101"/>
      <c r="D20" s="64">
        <f>D18+D19</f>
        <v>0</v>
      </c>
    </row>
  </sheetData>
  <mergeCells count="12">
    <mergeCell ref="A20:C20"/>
    <mergeCell ref="A16:C16"/>
    <mergeCell ref="A15:C15"/>
    <mergeCell ref="A1:D1"/>
    <mergeCell ref="A13:C13"/>
    <mergeCell ref="A11:C11"/>
    <mergeCell ref="A19:C19"/>
    <mergeCell ref="A14:C14"/>
    <mergeCell ref="A3:D3"/>
    <mergeCell ref="A18:C18"/>
    <mergeCell ref="A12:C12"/>
    <mergeCell ref="A10:D10"/>
  </mergeCell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B0000"/>
  </sheetPr>
  <dimension ref="A1:L4"/>
  <sheetViews>
    <sheetView workbookViewId="0">
      <pane ySplit="3" topLeftCell="A4" activePane="bottomLeft" state="frozen"/>
      <selection pane="bottomLeft" sqref="A1:L1"/>
    </sheetView>
  </sheetViews>
  <sheetFormatPr defaultRowHeight="15" x14ac:dyDescent="0.25"/>
  <cols>
    <col min="1" max="1" width="10" customWidth="1"/>
    <col min="2" max="2" width="12" customWidth="1"/>
    <col min="3" max="3" width="18" customWidth="1"/>
    <col min="4" max="4" width="12" customWidth="1"/>
    <col min="5" max="6" width="22" customWidth="1"/>
    <col min="7" max="8" width="14" customWidth="1"/>
    <col min="9" max="10" width="12" customWidth="1"/>
    <col min="11" max="11" width="14" customWidth="1"/>
    <col min="12" max="12" width="28" customWidth="1"/>
  </cols>
  <sheetData>
    <row r="1" spans="1:12" ht="27.95" customHeight="1" x14ac:dyDescent="0.25">
      <c r="A1" s="84" t="s">
        <v>1154</v>
      </c>
      <c r="B1" s="81"/>
      <c r="C1" s="81"/>
      <c r="D1" s="81"/>
      <c r="E1" s="81"/>
      <c r="F1" s="81"/>
      <c r="G1" s="81"/>
      <c r="H1" s="81"/>
      <c r="I1" s="81"/>
      <c r="J1" s="81"/>
      <c r="K1" s="81"/>
      <c r="L1" s="81"/>
    </row>
    <row r="2" spans="1:12" ht="6" customHeight="1" x14ac:dyDescent="0.25"/>
    <row r="3" spans="1:12" x14ac:dyDescent="0.25">
      <c r="A3" s="1" t="s">
        <v>1155</v>
      </c>
      <c r="B3" s="1" t="s">
        <v>460</v>
      </c>
      <c r="C3" s="1" t="s">
        <v>1156</v>
      </c>
      <c r="D3" s="1" t="s">
        <v>1107</v>
      </c>
      <c r="E3" s="1" t="s">
        <v>1157</v>
      </c>
      <c r="F3" s="1" t="s">
        <v>1158</v>
      </c>
      <c r="G3" s="1" t="s">
        <v>634</v>
      </c>
      <c r="H3" s="1" t="s">
        <v>1159</v>
      </c>
      <c r="I3" s="1" t="s">
        <v>1160</v>
      </c>
      <c r="J3" s="1" t="s">
        <v>1161</v>
      </c>
      <c r="K3" s="1" t="s">
        <v>1162</v>
      </c>
      <c r="L3" s="1" t="s">
        <v>3</v>
      </c>
    </row>
    <row r="4" spans="1:12" x14ac:dyDescent="0.25">
      <c r="A4" s="93" t="s">
        <v>1163</v>
      </c>
      <c r="B4" s="81"/>
      <c r="C4" s="81"/>
      <c r="D4" s="81"/>
      <c r="E4" s="81"/>
      <c r="F4" s="81"/>
      <c r="G4" s="81"/>
      <c r="H4" s="81"/>
      <c r="I4" s="81"/>
      <c r="J4" s="81"/>
      <c r="K4" s="81"/>
      <c r="L4" s="81"/>
    </row>
  </sheetData>
  <mergeCells count="2">
    <mergeCell ref="A1:L1"/>
    <mergeCell ref="A4:L4"/>
  </mergeCell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B0000"/>
  </sheetPr>
  <dimension ref="A1:H6"/>
  <sheetViews>
    <sheetView workbookViewId="0">
      <pane ySplit="5" topLeftCell="A6" activePane="bottomLeft" state="frozen"/>
      <selection pane="bottomLeft" sqref="A1:H1"/>
    </sheetView>
  </sheetViews>
  <sheetFormatPr defaultRowHeight="15" x14ac:dyDescent="0.25"/>
  <cols>
    <col min="1" max="1" width="12" customWidth="1"/>
    <col min="2" max="2" width="22" customWidth="1"/>
    <col min="3" max="3" width="18" customWidth="1"/>
    <col min="4" max="4" width="16" customWidth="1"/>
    <col min="5" max="5" width="18" customWidth="1"/>
    <col min="6" max="6" width="20" customWidth="1"/>
    <col min="7" max="7" width="10" customWidth="1"/>
    <col min="8" max="8" width="12" customWidth="1"/>
  </cols>
  <sheetData>
    <row r="1" spans="1:8" ht="27.95" customHeight="1" x14ac:dyDescent="0.25">
      <c r="A1" s="84" t="s">
        <v>1164</v>
      </c>
      <c r="B1" s="81"/>
      <c r="C1" s="81"/>
      <c r="D1" s="81"/>
      <c r="E1" s="81"/>
      <c r="F1" s="81"/>
      <c r="G1" s="81"/>
      <c r="H1" s="81"/>
    </row>
    <row r="3" spans="1:8" x14ac:dyDescent="0.25">
      <c r="A3" s="102" t="s">
        <v>1165</v>
      </c>
      <c r="B3" s="81"/>
      <c r="C3" s="81"/>
      <c r="D3" s="81"/>
      <c r="E3" s="81"/>
      <c r="F3" s="81"/>
      <c r="G3" s="81"/>
      <c r="H3" s="81"/>
    </row>
    <row r="4" spans="1:8" ht="8.1" customHeight="1" x14ac:dyDescent="0.25"/>
    <row r="5" spans="1:8" x14ac:dyDescent="0.25">
      <c r="A5" s="1" t="s">
        <v>1107</v>
      </c>
      <c r="B5" s="1" t="s">
        <v>1166</v>
      </c>
      <c r="C5" s="1" t="s">
        <v>1167</v>
      </c>
      <c r="D5" s="1" t="s">
        <v>353</v>
      </c>
      <c r="E5" s="1" t="s">
        <v>620</v>
      </c>
      <c r="F5" s="1" t="s">
        <v>1168</v>
      </c>
      <c r="G5" s="1" t="s">
        <v>1169</v>
      </c>
      <c r="H5" s="1" t="s">
        <v>35</v>
      </c>
    </row>
    <row r="6" spans="1:8" x14ac:dyDescent="0.25">
      <c r="A6" s="2" t="s">
        <v>1114</v>
      </c>
      <c r="B6" s="2" t="s">
        <v>1115</v>
      </c>
      <c r="C6" s="18">
        <v>50000</v>
      </c>
      <c r="D6" s="18">
        <v>0</v>
      </c>
      <c r="E6" s="18">
        <v>50000</v>
      </c>
      <c r="F6" s="18">
        <v>0</v>
      </c>
      <c r="G6" s="2" t="s">
        <v>1134</v>
      </c>
      <c r="H6" s="2" t="s">
        <v>41</v>
      </c>
    </row>
  </sheetData>
  <mergeCells count="2">
    <mergeCell ref="A3:H3"/>
    <mergeCell ref="A1:H1"/>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8D4"/>
  </sheetPr>
  <dimension ref="A1:M6"/>
  <sheetViews>
    <sheetView workbookViewId="0">
      <pane ySplit="4" topLeftCell="A5" activePane="bottomLeft" state="frozen"/>
      <selection pane="bottomLeft" sqref="A1:M1"/>
    </sheetView>
  </sheetViews>
  <sheetFormatPr defaultRowHeight="15" x14ac:dyDescent="0.25"/>
  <cols>
    <col min="1" max="1" width="10" customWidth="1"/>
    <col min="2" max="2" width="28" customWidth="1"/>
    <col min="3" max="7" width="14" customWidth="1"/>
    <col min="8" max="8" width="12" customWidth="1"/>
    <col min="9" max="9" width="10" customWidth="1"/>
    <col min="10" max="10" width="12" customWidth="1"/>
    <col min="11" max="12" width="8" customWidth="1"/>
    <col min="13" max="13" width="20" customWidth="1"/>
  </cols>
  <sheetData>
    <row r="1" spans="1:13" ht="27.95" customHeight="1" x14ac:dyDescent="0.25">
      <c r="A1" s="84" t="s">
        <v>1170</v>
      </c>
      <c r="B1" s="81"/>
      <c r="C1" s="81"/>
      <c r="D1" s="81"/>
      <c r="E1" s="81"/>
      <c r="F1" s="81"/>
      <c r="G1" s="81"/>
      <c r="H1" s="81"/>
      <c r="I1" s="81"/>
      <c r="J1" s="81"/>
      <c r="K1" s="81"/>
      <c r="L1" s="81"/>
      <c r="M1" s="81"/>
    </row>
    <row r="3" spans="1:13" x14ac:dyDescent="0.25">
      <c r="A3" s="103" t="s">
        <v>1171</v>
      </c>
      <c r="B3" s="81"/>
      <c r="C3" s="81"/>
      <c r="D3" s="81"/>
      <c r="E3" s="81"/>
      <c r="F3" s="81"/>
      <c r="G3" s="81"/>
      <c r="H3" s="81"/>
      <c r="I3" s="81"/>
      <c r="J3" s="81"/>
      <c r="K3" s="81"/>
      <c r="L3" s="81"/>
      <c r="M3" s="81"/>
    </row>
    <row r="5" spans="1:13" ht="25.5" x14ac:dyDescent="0.25">
      <c r="A5" s="1" t="s">
        <v>1172</v>
      </c>
      <c r="B5" s="1" t="s">
        <v>694</v>
      </c>
      <c r="C5" s="1" t="s">
        <v>823</v>
      </c>
      <c r="D5" s="1" t="s">
        <v>791</v>
      </c>
      <c r="E5" s="1" t="s">
        <v>1173</v>
      </c>
      <c r="F5" s="1" t="s">
        <v>652</v>
      </c>
      <c r="G5" s="1" t="s">
        <v>820</v>
      </c>
      <c r="H5" s="1" t="s">
        <v>1174</v>
      </c>
      <c r="I5" s="1" t="s">
        <v>800</v>
      </c>
      <c r="J5" s="1" t="s">
        <v>1175</v>
      </c>
      <c r="K5" s="1" t="s">
        <v>1176</v>
      </c>
      <c r="L5" s="1" t="s">
        <v>1177</v>
      </c>
      <c r="M5" s="1" t="s">
        <v>1178</v>
      </c>
    </row>
    <row r="6" spans="1:13" x14ac:dyDescent="0.25">
      <c r="A6" s="2" t="s">
        <v>1179</v>
      </c>
      <c r="B6" s="2" t="s">
        <v>1180</v>
      </c>
      <c r="C6" s="2" t="s">
        <v>810</v>
      </c>
      <c r="D6" s="18">
        <v>200000</v>
      </c>
      <c r="E6" s="18">
        <v>114000</v>
      </c>
      <c r="F6" s="18">
        <v>90000</v>
      </c>
      <c r="G6" s="36">
        <f>D6-E6</f>
        <v>86000</v>
      </c>
      <c r="H6" s="44">
        <f>IF(D6&gt;0,(D6-E6-F6)/D6,0)</f>
        <v>-0.02</v>
      </c>
      <c r="I6" s="3">
        <v>0</v>
      </c>
      <c r="J6" s="3">
        <v>0</v>
      </c>
      <c r="K6" s="72">
        <f>MAX(0,MIN(100,H6*100*0.4+IF(I6&gt;=1.25,30,I6*24)+IF(J6&gt;0,30,0)))</f>
        <v>0</v>
      </c>
      <c r="L6" s="2" t="str">
        <f>IF(K6&gt;=80,"A",IF(K6&gt;=70,"B",IF(K6&gt;=60,"C","D")))</f>
        <v>D</v>
      </c>
      <c r="M6" s="2" t="str">
        <f>IF(L6="A","STRONG BUY",IF(L6="B","REVIEW",IF(L6="C","PASS","AVOID")))</f>
        <v>AVOID</v>
      </c>
    </row>
  </sheetData>
  <mergeCells count="2">
    <mergeCell ref="A3:M3"/>
    <mergeCell ref="A1:M1"/>
  </mergeCell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8D4"/>
  </sheetPr>
  <dimension ref="A1:I16"/>
  <sheetViews>
    <sheetView workbookViewId="0">
      <pane ySplit="3" topLeftCell="A4" activePane="bottomLeft" state="frozen"/>
      <selection pane="bottomLeft" sqref="A1:I1"/>
    </sheetView>
  </sheetViews>
  <sheetFormatPr defaultRowHeight="15" x14ac:dyDescent="0.25"/>
  <cols>
    <col min="1" max="1" width="8" customWidth="1"/>
    <col min="2" max="3" width="14" customWidth="1"/>
    <col min="4" max="6" width="18" customWidth="1"/>
    <col min="7" max="7" width="14" customWidth="1"/>
    <col min="8" max="8" width="18" customWidth="1"/>
    <col min="9" max="9" width="25" customWidth="1"/>
  </cols>
  <sheetData>
    <row r="1" spans="1:9" ht="27.95" customHeight="1" x14ac:dyDescent="0.25">
      <c r="A1" s="84" t="s">
        <v>1181</v>
      </c>
      <c r="B1" s="81"/>
      <c r="C1" s="81"/>
      <c r="D1" s="81"/>
      <c r="E1" s="81"/>
      <c r="F1" s="81"/>
      <c r="G1" s="81"/>
      <c r="H1" s="81"/>
      <c r="I1" s="81"/>
    </row>
    <row r="2" spans="1:9" ht="6" customHeight="1" x14ac:dyDescent="0.25"/>
    <row r="3" spans="1:9" ht="25.5" x14ac:dyDescent="0.25">
      <c r="A3" s="1" t="s">
        <v>1182</v>
      </c>
      <c r="B3" s="1" t="s">
        <v>1183</v>
      </c>
      <c r="C3" s="1" t="s">
        <v>1184</v>
      </c>
      <c r="D3" s="1" t="s">
        <v>1185</v>
      </c>
      <c r="E3" s="1" t="s">
        <v>1186</v>
      </c>
      <c r="F3" s="1" t="s">
        <v>1187</v>
      </c>
      <c r="G3" s="1" t="s">
        <v>1188</v>
      </c>
      <c r="H3" s="1" t="s">
        <v>1189</v>
      </c>
      <c r="I3" s="1" t="s">
        <v>1190</v>
      </c>
    </row>
    <row r="4" spans="1:9" x14ac:dyDescent="0.25">
      <c r="A4" s="73">
        <v>1</v>
      </c>
      <c r="B4" s="2" t="s">
        <v>19</v>
      </c>
      <c r="C4" s="2" t="s">
        <v>1191</v>
      </c>
      <c r="D4" s="18">
        <v>17200</v>
      </c>
      <c r="E4" s="18">
        <v>0</v>
      </c>
      <c r="F4" s="18">
        <v>3800</v>
      </c>
      <c r="G4" s="36">
        <f t="shared" ref="G4:G16" si="0">E4-F4</f>
        <v>-3800</v>
      </c>
      <c r="H4" s="36">
        <f t="shared" ref="H4:H16" si="1">D4+G4</f>
        <v>13400</v>
      </c>
      <c r="I4" s="2" t="str">
        <f t="shared" ref="I4:I16" si="2">IF(H4&lt;5000,"CRITICAL — LOW CASH",IF(H4&lt;15000,"WARNING — MONITOR","OK"))</f>
        <v>WARNING — MONITOR</v>
      </c>
    </row>
    <row r="5" spans="1:9" x14ac:dyDescent="0.25">
      <c r="A5" s="74">
        <v>2</v>
      </c>
      <c r="B5" s="4" t="s">
        <v>1192</v>
      </c>
      <c r="C5" s="4" t="s">
        <v>1193</v>
      </c>
      <c r="D5" s="75">
        <f t="shared" ref="D5:D16" si="3">H4</f>
        <v>13400</v>
      </c>
      <c r="E5" s="19">
        <v>0</v>
      </c>
      <c r="F5" s="19">
        <v>1500</v>
      </c>
      <c r="G5" s="35">
        <f t="shared" si="0"/>
        <v>-1500</v>
      </c>
      <c r="H5" s="35">
        <f t="shared" si="1"/>
        <v>11900</v>
      </c>
      <c r="I5" s="4" t="str">
        <f t="shared" si="2"/>
        <v>WARNING — MONITOR</v>
      </c>
    </row>
    <row r="6" spans="1:9" x14ac:dyDescent="0.25">
      <c r="A6" s="73">
        <v>3</v>
      </c>
      <c r="B6" s="2" t="s">
        <v>1194</v>
      </c>
      <c r="C6" s="2" t="s">
        <v>1195</v>
      </c>
      <c r="D6" s="76">
        <f t="shared" si="3"/>
        <v>11900</v>
      </c>
      <c r="E6" s="18">
        <v>5000</v>
      </c>
      <c r="F6" s="18">
        <v>8500</v>
      </c>
      <c r="G6" s="36">
        <f t="shared" si="0"/>
        <v>-3500</v>
      </c>
      <c r="H6" s="36">
        <f t="shared" si="1"/>
        <v>8400</v>
      </c>
      <c r="I6" s="2" t="str">
        <f t="shared" si="2"/>
        <v>WARNING — MONITOR</v>
      </c>
    </row>
    <row r="7" spans="1:9" x14ac:dyDescent="0.25">
      <c r="A7" s="74">
        <v>4</v>
      </c>
      <c r="B7" s="4" t="s">
        <v>1196</v>
      </c>
      <c r="C7" s="4" t="s">
        <v>1197</v>
      </c>
      <c r="D7" s="75">
        <f t="shared" si="3"/>
        <v>8400</v>
      </c>
      <c r="E7" s="19">
        <v>5000</v>
      </c>
      <c r="F7" s="19">
        <v>1500</v>
      </c>
      <c r="G7" s="35">
        <f t="shared" si="0"/>
        <v>3500</v>
      </c>
      <c r="H7" s="35">
        <f t="shared" si="1"/>
        <v>11900</v>
      </c>
      <c r="I7" s="4" t="str">
        <f t="shared" si="2"/>
        <v>WARNING — MONITOR</v>
      </c>
    </row>
    <row r="8" spans="1:9" x14ac:dyDescent="0.25">
      <c r="A8" s="73">
        <v>5</v>
      </c>
      <c r="B8" s="2" t="s">
        <v>1198</v>
      </c>
      <c r="C8" s="2" t="s">
        <v>1199</v>
      </c>
      <c r="D8" s="76">
        <f t="shared" si="3"/>
        <v>11900</v>
      </c>
      <c r="E8" s="18">
        <v>5000</v>
      </c>
      <c r="F8" s="18">
        <v>8500</v>
      </c>
      <c r="G8" s="36">
        <f t="shared" si="0"/>
        <v>-3500</v>
      </c>
      <c r="H8" s="36">
        <f t="shared" si="1"/>
        <v>8400</v>
      </c>
      <c r="I8" s="2" t="str">
        <f t="shared" si="2"/>
        <v>WARNING — MONITOR</v>
      </c>
    </row>
    <row r="9" spans="1:9" x14ac:dyDescent="0.25">
      <c r="A9" s="74">
        <v>6</v>
      </c>
      <c r="B9" s="4" t="s">
        <v>1200</v>
      </c>
      <c r="C9" s="4" t="s">
        <v>1201</v>
      </c>
      <c r="D9" s="75">
        <f t="shared" si="3"/>
        <v>8400</v>
      </c>
      <c r="E9" s="19">
        <v>5000</v>
      </c>
      <c r="F9" s="19">
        <v>1500</v>
      </c>
      <c r="G9" s="35">
        <f t="shared" si="0"/>
        <v>3500</v>
      </c>
      <c r="H9" s="35">
        <f t="shared" si="1"/>
        <v>11900</v>
      </c>
      <c r="I9" s="4" t="str">
        <f t="shared" si="2"/>
        <v>WARNING — MONITOR</v>
      </c>
    </row>
    <row r="10" spans="1:9" x14ac:dyDescent="0.25">
      <c r="A10" s="73">
        <v>7</v>
      </c>
      <c r="B10" s="2" t="s">
        <v>1202</v>
      </c>
      <c r="C10" s="2" t="s">
        <v>1203</v>
      </c>
      <c r="D10" s="76">
        <f t="shared" si="3"/>
        <v>11900</v>
      </c>
      <c r="E10" s="18">
        <v>5000</v>
      </c>
      <c r="F10" s="18">
        <v>8500</v>
      </c>
      <c r="G10" s="36">
        <f t="shared" si="0"/>
        <v>-3500</v>
      </c>
      <c r="H10" s="36">
        <f t="shared" si="1"/>
        <v>8400</v>
      </c>
      <c r="I10" s="2" t="str">
        <f t="shared" si="2"/>
        <v>WARNING — MONITOR</v>
      </c>
    </row>
    <row r="11" spans="1:9" x14ac:dyDescent="0.25">
      <c r="A11" s="74">
        <v>8</v>
      </c>
      <c r="B11" s="4" t="s">
        <v>1204</v>
      </c>
      <c r="C11" s="4" t="s">
        <v>1205</v>
      </c>
      <c r="D11" s="75">
        <f t="shared" si="3"/>
        <v>8400</v>
      </c>
      <c r="E11" s="19">
        <v>5000</v>
      </c>
      <c r="F11" s="19">
        <v>1500</v>
      </c>
      <c r="G11" s="35">
        <f t="shared" si="0"/>
        <v>3500</v>
      </c>
      <c r="H11" s="35">
        <f t="shared" si="1"/>
        <v>11900</v>
      </c>
      <c r="I11" s="4" t="str">
        <f t="shared" si="2"/>
        <v>WARNING — MONITOR</v>
      </c>
    </row>
    <row r="12" spans="1:9" x14ac:dyDescent="0.25">
      <c r="A12" s="73">
        <v>9</v>
      </c>
      <c r="B12" s="2" t="s">
        <v>1206</v>
      </c>
      <c r="C12" s="2" t="s">
        <v>1207</v>
      </c>
      <c r="D12" s="76">
        <f t="shared" si="3"/>
        <v>11900</v>
      </c>
      <c r="E12" s="18">
        <v>5000</v>
      </c>
      <c r="F12" s="18">
        <v>8500</v>
      </c>
      <c r="G12" s="36">
        <f t="shared" si="0"/>
        <v>-3500</v>
      </c>
      <c r="H12" s="36">
        <f t="shared" si="1"/>
        <v>8400</v>
      </c>
      <c r="I12" s="2" t="str">
        <f t="shared" si="2"/>
        <v>WARNING — MONITOR</v>
      </c>
    </row>
    <row r="13" spans="1:9" x14ac:dyDescent="0.25">
      <c r="A13" s="74">
        <v>10</v>
      </c>
      <c r="B13" s="4" t="s">
        <v>1208</v>
      </c>
      <c r="C13" s="4" t="s">
        <v>1209</v>
      </c>
      <c r="D13" s="75">
        <f t="shared" si="3"/>
        <v>8400</v>
      </c>
      <c r="E13" s="19">
        <v>5000</v>
      </c>
      <c r="F13" s="19">
        <v>1500</v>
      </c>
      <c r="G13" s="35">
        <f t="shared" si="0"/>
        <v>3500</v>
      </c>
      <c r="H13" s="35">
        <f t="shared" si="1"/>
        <v>11900</v>
      </c>
      <c r="I13" s="4" t="str">
        <f t="shared" si="2"/>
        <v>WARNING — MONITOR</v>
      </c>
    </row>
    <row r="14" spans="1:9" x14ac:dyDescent="0.25">
      <c r="A14" s="73">
        <v>11</v>
      </c>
      <c r="B14" s="2" t="s">
        <v>1210</v>
      </c>
      <c r="C14" s="2" t="s">
        <v>1211</v>
      </c>
      <c r="D14" s="76">
        <f t="shared" si="3"/>
        <v>11900</v>
      </c>
      <c r="E14" s="18">
        <v>5000</v>
      </c>
      <c r="F14" s="18">
        <v>3800</v>
      </c>
      <c r="G14" s="36">
        <f t="shared" si="0"/>
        <v>1200</v>
      </c>
      <c r="H14" s="36">
        <f t="shared" si="1"/>
        <v>13100</v>
      </c>
      <c r="I14" s="2" t="str">
        <f t="shared" si="2"/>
        <v>WARNING — MONITOR</v>
      </c>
    </row>
    <row r="15" spans="1:9" x14ac:dyDescent="0.25">
      <c r="A15" s="74">
        <v>12</v>
      </c>
      <c r="B15" s="4" t="s">
        <v>1212</v>
      </c>
      <c r="C15" s="4" t="s">
        <v>1213</v>
      </c>
      <c r="D15" s="75">
        <f t="shared" si="3"/>
        <v>13100</v>
      </c>
      <c r="E15" s="19">
        <v>5000</v>
      </c>
      <c r="F15" s="19">
        <v>1500</v>
      </c>
      <c r="G15" s="35">
        <f t="shared" si="0"/>
        <v>3500</v>
      </c>
      <c r="H15" s="35">
        <f t="shared" si="1"/>
        <v>16600</v>
      </c>
      <c r="I15" s="4" t="str">
        <f t="shared" si="2"/>
        <v>OK</v>
      </c>
    </row>
    <row r="16" spans="1:9" x14ac:dyDescent="0.25">
      <c r="A16" s="73">
        <v>13</v>
      </c>
      <c r="B16" s="2" t="s">
        <v>1214</v>
      </c>
      <c r="C16" s="2" t="s">
        <v>1215</v>
      </c>
      <c r="D16" s="76">
        <f t="shared" si="3"/>
        <v>16600</v>
      </c>
      <c r="E16" s="18">
        <v>5000</v>
      </c>
      <c r="F16" s="18">
        <v>1500</v>
      </c>
      <c r="G16" s="36">
        <f t="shared" si="0"/>
        <v>3500</v>
      </c>
      <c r="H16" s="36">
        <f t="shared" si="1"/>
        <v>20100</v>
      </c>
      <c r="I16" s="2" t="str">
        <f t="shared" si="2"/>
        <v>OK</v>
      </c>
    </row>
  </sheetData>
  <mergeCells count="1">
    <mergeCell ref="A1:I1"/>
  </mergeCell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8D4"/>
  </sheetPr>
  <dimension ref="A1:I7"/>
  <sheetViews>
    <sheetView workbookViewId="0">
      <pane ySplit="4" topLeftCell="A5" activePane="bottomLeft" state="frozen"/>
      <selection pane="bottomLeft" sqref="A1:I1"/>
    </sheetView>
  </sheetViews>
  <sheetFormatPr defaultRowHeight="15" x14ac:dyDescent="0.25"/>
  <cols>
    <col min="1" max="1" width="14" customWidth="1"/>
    <col min="2" max="2" width="12" customWidth="1"/>
    <col min="3" max="3" width="22" customWidth="1"/>
    <col min="4" max="6" width="14" customWidth="1"/>
    <col min="7" max="7" width="16" customWidth="1"/>
    <col min="8" max="8" width="10" customWidth="1"/>
    <col min="9" max="9" width="35" customWidth="1"/>
  </cols>
  <sheetData>
    <row r="1" spans="1:9" ht="27.95" customHeight="1" x14ac:dyDescent="0.25">
      <c r="A1" s="84" t="s">
        <v>1216</v>
      </c>
      <c r="B1" s="81"/>
      <c r="C1" s="81"/>
      <c r="D1" s="81"/>
      <c r="E1" s="81"/>
      <c r="F1" s="81"/>
      <c r="G1" s="81"/>
      <c r="H1" s="81"/>
      <c r="I1" s="81"/>
    </row>
    <row r="3" spans="1:9" x14ac:dyDescent="0.25">
      <c r="A3" s="103" t="s">
        <v>1217</v>
      </c>
      <c r="B3" s="81"/>
      <c r="C3" s="81"/>
      <c r="D3" s="81"/>
      <c r="E3" s="81"/>
      <c r="F3" s="81"/>
      <c r="G3" s="81"/>
      <c r="H3" s="81"/>
      <c r="I3" s="81"/>
    </row>
    <row r="5" spans="1:9" ht="25.5" x14ac:dyDescent="0.25">
      <c r="A5" s="1" t="s">
        <v>1218</v>
      </c>
      <c r="B5" s="1" t="s">
        <v>1219</v>
      </c>
      <c r="C5" s="1" t="s">
        <v>594</v>
      </c>
      <c r="D5" s="1" t="s">
        <v>634</v>
      </c>
      <c r="E5" s="1" t="s">
        <v>1220</v>
      </c>
      <c r="F5" s="1" t="s">
        <v>614</v>
      </c>
      <c r="G5" s="1" t="s">
        <v>1221</v>
      </c>
      <c r="H5" s="1" t="s">
        <v>1222</v>
      </c>
      <c r="I5" s="1" t="s">
        <v>3</v>
      </c>
    </row>
    <row r="6" spans="1:9" x14ac:dyDescent="0.25">
      <c r="A6" s="2" t="s">
        <v>495</v>
      </c>
      <c r="B6" s="2">
        <v>6120</v>
      </c>
      <c r="C6" s="2" t="s">
        <v>681</v>
      </c>
      <c r="D6" s="18">
        <v>299</v>
      </c>
      <c r="E6" s="18">
        <v>299</v>
      </c>
      <c r="F6" s="44">
        <f>IF(E6=0,0,(D6-E6)/E6)</f>
        <v>0</v>
      </c>
      <c r="G6" s="2" t="str">
        <f>IF(ABS(F6)&gt;0.5,"FLAGGED","Normal")</f>
        <v>Normal</v>
      </c>
      <c r="H6" s="2" t="str">
        <f>IF(ABS(F6)&gt;1,"HIGH",IF(ABS(F6)&gt;0.5,"MEDIUM","LOW"))</f>
        <v>LOW</v>
      </c>
      <c r="I6" s="28"/>
    </row>
    <row r="7" spans="1:9" x14ac:dyDescent="0.25">
      <c r="A7" s="4" t="s">
        <v>490</v>
      </c>
      <c r="B7" s="4">
        <v>5110</v>
      </c>
      <c r="C7" s="4" t="s">
        <v>685</v>
      </c>
      <c r="D7" s="19">
        <v>3500</v>
      </c>
      <c r="E7" s="19">
        <v>3500</v>
      </c>
      <c r="F7" s="45">
        <f>IF(E7=0,0,(D7-E7)/E7)</f>
        <v>0</v>
      </c>
      <c r="G7" s="4" t="str">
        <f>IF(ABS(F7)&gt;0.5,"FLAGGED","Normal")</f>
        <v>Normal</v>
      </c>
      <c r="H7" s="4" t="str">
        <f>IF(ABS(F7)&gt;1,"HIGH",IF(ABS(F7)&gt;0.5,"MEDIUM","LOW"))</f>
        <v>LOW</v>
      </c>
      <c r="I7" s="29"/>
    </row>
  </sheetData>
  <mergeCells count="2">
    <mergeCell ref="A1:I1"/>
    <mergeCell ref="A3:I3"/>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8D4"/>
  </sheetPr>
  <dimension ref="A1:F24"/>
  <sheetViews>
    <sheetView workbookViewId="0">
      <pane ySplit="5" topLeftCell="A6" activePane="bottomLeft" state="frozen"/>
      <selection pane="bottomLeft" sqref="A1:F1"/>
    </sheetView>
  </sheetViews>
  <sheetFormatPr defaultRowHeight="15" x14ac:dyDescent="0.25"/>
  <cols>
    <col min="1" max="6" width="22" customWidth="1"/>
  </cols>
  <sheetData>
    <row r="1" spans="1:6" ht="27.95" customHeight="1" x14ac:dyDescent="0.25">
      <c r="A1" s="92" t="s">
        <v>1223</v>
      </c>
      <c r="B1" s="81"/>
      <c r="C1" s="81"/>
      <c r="D1" s="81"/>
      <c r="E1" s="81"/>
      <c r="F1" s="81"/>
    </row>
    <row r="3" spans="1:6" x14ac:dyDescent="0.25">
      <c r="A3" s="87" t="s">
        <v>1224</v>
      </c>
      <c r="B3" s="81"/>
      <c r="C3" s="81"/>
      <c r="D3" s="81"/>
      <c r="E3" s="81"/>
      <c r="F3" s="81"/>
    </row>
    <row r="5" spans="1:6" x14ac:dyDescent="0.25">
      <c r="A5" s="107" t="s">
        <v>1225</v>
      </c>
      <c r="B5" s="101"/>
      <c r="C5" s="101"/>
      <c r="D5" s="107" t="s">
        <v>1226</v>
      </c>
      <c r="E5" s="101"/>
      <c r="F5" s="101"/>
    </row>
    <row r="6" spans="1:6" x14ac:dyDescent="0.25">
      <c r="A6" s="104" t="s">
        <v>1227</v>
      </c>
      <c r="B6" s="96"/>
      <c r="C6" s="96"/>
      <c r="D6" s="106" t="s">
        <v>1228</v>
      </c>
      <c r="E6" s="96"/>
      <c r="F6" s="96"/>
    </row>
    <row r="7" spans="1:6" x14ac:dyDescent="0.25">
      <c r="A7" s="105" t="s">
        <v>1229</v>
      </c>
      <c r="B7" s="97"/>
      <c r="C7" s="97"/>
      <c r="D7" s="108" t="s">
        <v>1230</v>
      </c>
      <c r="E7" s="97"/>
      <c r="F7" s="97"/>
    </row>
    <row r="8" spans="1:6" x14ac:dyDescent="0.25">
      <c r="A8" s="104" t="s">
        <v>1231</v>
      </c>
      <c r="B8" s="96"/>
      <c r="C8" s="96"/>
      <c r="D8" s="106" t="s">
        <v>1232</v>
      </c>
      <c r="E8" s="96"/>
      <c r="F8" s="96"/>
    </row>
    <row r="9" spans="1:6" x14ac:dyDescent="0.25">
      <c r="A9" s="105" t="s">
        <v>1233</v>
      </c>
      <c r="B9" s="97"/>
      <c r="C9" s="97"/>
      <c r="D9" s="108" t="s">
        <v>1234</v>
      </c>
      <c r="E9" s="97"/>
      <c r="F9" s="97"/>
    </row>
    <row r="10" spans="1:6" x14ac:dyDescent="0.25">
      <c r="A10" s="104" t="s">
        <v>1235</v>
      </c>
      <c r="B10" s="96"/>
      <c r="C10" s="96"/>
      <c r="D10" s="106" t="s">
        <v>1236</v>
      </c>
      <c r="E10" s="96"/>
      <c r="F10" s="96"/>
    </row>
    <row r="11" spans="1:6" x14ac:dyDescent="0.25">
      <c r="A11" s="105" t="s">
        <v>1237</v>
      </c>
      <c r="B11" s="97"/>
      <c r="C11" s="97"/>
      <c r="D11" s="108" t="s">
        <v>1238</v>
      </c>
      <c r="E11" s="97"/>
      <c r="F11" s="97"/>
    </row>
    <row r="12" spans="1:6" x14ac:dyDescent="0.25">
      <c r="A12" s="104" t="s">
        <v>1239</v>
      </c>
      <c r="B12" s="96"/>
      <c r="C12" s="96"/>
      <c r="D12" s="106" t="s">
        <v>1240</v>
      </c>
      <c r="E12" s="96"/>
      <c r="F12" s="96"/>
    </row>
    <row r="13" spans="1:6" x14ac:dyDescent="0.25">
      <c r="A13" s="105" t="s">
        <v>1241</v>
      </c>
      <c r="B13" s="97"/>
      <c r="C13" s="97"/>
      <c r="D13" s="108" t="s">
        <v>1242</v>
      </c>
      <c r="E13" s="97"/>
      <c r="F13" s="97"/>
    </row>
    <row r="14" spans="1:6" x14ac:dyDescent="0.25">
      <c r="A14" s="104" t="s">
        <v>1243</v>
      </c>
      <c r="B14" s="96"/>
      <c r="C14" s="96"/>
      <c r="D14" s="106" t="s">
        <v>1244</v>
      </c>
      <c r="E14" s="96"/>
      <c r="F14" s="96"/>
    </row>
    <row r="15" spans="1:6" x14ac:dyDescent="0.25">
      <c r="A15" s="105" t="s">
        <v>1245</v>
      </c>
      <c r="B15" s="97"/>
      <c r="C15" s="97"/>
      <c r="D15" s="108" t="s">
        <v>1246</v>
      </c>
      <c r="E15" s="97"/>
      <c r="F15" s="97"/>
    </row>
    <row r="18" spans="1:6" x14ac:dyDescent="0.25">
      <c r="A18" s="94" t="s">
        <v>1247</v>
      </c>
      <c r="B18" s="81"/>
      <c r="C18" s="81"/>
      <c r="D18" s="81"/>
      <c r="E18" s="81"/>
      <c r="F18" s="81"/>
    </row>
    <row r="19" spans="1:6" x14ac:dyDescent="0.25">
      <c r="A19" s="1" t="s">
        <v>1248</v>
      </c>
      <c r="B19" s="1" t="s">
        <v>35</v>
      </c>
      <c r="C19" s="1" t="s">
        <v>1249</v>
      </c>
      <c r="D19" s="1" t="s">
        <v>1250</v>
      </c>
      <c r="E19" s="1" t="s">
        <v>3</v>
      </c>
    </row>
    <row r="20" spans="1:6" x14ac:dyDescent="0.25">
      <c r="A20" s="2" t="s">
        <v>1251</v>
      </c>
      <c r="B20" s="77" t="s">
        <v>1252</v>
      </c>
      <c r="C20" s="28"/>
      <c r="D20" s="28"/>
      <c r="E20" s="28"/>
    </row>
    <row r="21" spans="1:6" x14ac:dyDescent="0.25">
      <c r="A21" s="4" t="s">
        <v>1253</v>
      </c>
      <c r="B21" s="78" t="s">
        <v>1252</v>
      </c>
      <c r="C21" s="29"/>
      <c r="D21" s="29"/>
      <c r="E21" s="29"/>
    </row>
    <row r="22" spans="1:6" x14ac:dyDescent="0.25">
      <c r="A22" s="2" t="s">
        <v>1254</v>
      </c>
      <c r="B22" s="77" t="s">
        <v>1252</v>
      </c>
      <c r="C22" s="28"/>
      <c r="D22" s="28"/>
      <c r="E22" s="28"/>
    </row>
    <row r="23" spans="1:6" x14ac:dyDescent="0.25">
      <c r="A23" s="4" t="s">
        <v>1255</v>
      </c>
      <c r="B23" s="78" t="s">
        <v>1252</v>
      </c>
      <c r="C23" s="29"/>
      <c r="D23" s="29"/>
      <c r="E23" s="29"/>
    </row>
    <row r="24" spans="1:6" x14ac:dyDescent="0.25">
      <c r="A24" s="2" t="s">
        <v>1256</v>
      </c>
      <c r="B24" s="77" t="s">
        <v>1252</v>
      </c>
      <c r="C24" s="28"/>
      <c r="D24" s="28"/>
      <c r="E24" s="28"/>
    </row>
  </sheetData>
  <mergeCells count="25">
    <mergeCell ref="A18:F18"/>
    <mergeCell ref="D7:F7"/>
    <mergeCell ref="A12:C12"/>
    <mergeCell ref="D15:F15"/>
    <mergeCell ref="A15:C15"/>
    <mergeCell ref="A8:C8"/>
    <mergeCell ref="A14:C14"/>
    <mergeCell ref="D12:F12"/>
    <mergeCell ref="D9:F9"/>
    <mergeCell ref="D8:F8"/>
    <mergeCell ref="A10:C10"/>
    <mergeCell ref="A13:C13"/>
    <mergeCell ref="D14:F14"/>
    <mergeCell ref="A9:C9"/>
    <mergeCell ref="D10:F10"/>
    <mergeCell ref="A11:C11"/>
    <mergeCell ref="D11:F11"/>
    <mergeCell ref="D13:F13"/>
    <mergeCell ref="A1:F1"/>
    <mergeCell ref="A6:C6"/>
    <mergeCell ref="A7:C7"/>
    <mergeCell ref="D6:F6"/>
    <mergeCell ref="A3:F3"/>
    <mergeCell ref="A5:C5"/>
    <mergeCell ref="D5:F5"/>
  </mergeCells>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4AF37"/>
  </sheetPr>
  <dimension ref="A1:H18"/>
  <sheetViews>
    <sheetView workbookViewId="0">
      <selection sqref="A1:H1"/>
    </sheetView>
  </sheetViews>
  <sheetFormatPr defaultRowHeight="15" x14ac:dyDescent="0.25"/>
  <cols>
    <col min="1" max="8" width="14" customWidth="1"/>
  </cols>
  <sheetData>
    <row r="1" spans="1:8" ht="38.1" customHeight="1" x14ac:dyDescent="0.25">
      <c r="A1" s="80" t="s">
        <v>1257</v>
      </c>
      <c r="B1" s="81"/>
      <c r="C1" s="81"/>
      <c r="D1" s="81"/>
      <c r="E1" s="81"/>
      <c r="F1" s="81"/>
      <c r="G1" s="81"/>
      <c r="H1" s="81"/>
    </row>
    <row r="3" spans="1:8" x14ac:dyDescent="0.25">
      <c r="A3" s="87" t="s">
        <v>1258</v>
      </c>
      <c r="B3" s="81"/>
      <c r="C3" s="81"/>
      <c r="D3" s="81"/>
      <c r="E3" s="81"/>
      <c r="F3" s="81"/>
      <c r="G3" s="81"/>
      <c r="H3" s="81"/>
    </row>
    <row r="4" spans="1:8" ht="15.95" customHeight="1" x14ac:dyDescent="0.25">
      <c r="A4" s="111" t="s">
        <v>1259</v>
      </c>
      <c r="B4" s="81"/>
      <c r="C4" s="111" t="s">
        <v>1260</v>
      </c>
      <c r="D4" s="81"/>
      <c r="E4" s="111" t="s">
        <v>1261</v>
      </c>
      <c r="F4" s="81"/>
      <c r="G4" s="111" t="s">
        <v>1262</v>
      </c>
      <c r="H4" s="81"/>
    </row>
    <row r="5" spans="1:8" ht="32.1" customHeight="1" x14ac:dyDescent="0.25">
      <c r="A5" s="110">
        <v>17200</v>
      </c>
      <c r="B5" s="81"/>
      <c r="C5" s="110">
        <v>0</v>
      </c>
      <c r="D5" s="81"/>
      <c r="E5" s="110">
        <v>11799</v>
      </c>
      <c r="F5" s="81"/>
      <c r="G5" s="110">
        <v>-11799</v>
      </c>
      <c r="H5" s="81"/>
    </row>
    <row r="6" spans="1:8" ht="14.1" customHeight="1" x14ac:dyDescent="0.25">
      <c r="A6" s="109" t="s">
        <v>1263</v>
      </c>
      <c r="B6" s="81"/>
      <c r="C6" s="109" t="s">
        <v>1264</v>
      </c>
      <c r="D6" s="81"/>
      <c r="E6" s="109" t="s">
        <v>1265</v>
      </c>
      <c r="F6" s="81"/>
      <c r="G6" s="109" t="s">
        <v>1266</v>
      </c>
      <c r="H6" s="81"/>
    </row>
    <row r="7" spans="1:8" x14ac:dyDescent="0.25">
      <c r="A7" s="87" t="s">
        <v>1267</v>
      </c>
      <c r="B7" s="81"/>
      <c r="C7" s="81"/>
      <c r="D7" s="81"/>
      <c r="E7" s="81"/>
      <c r="F7" s="81"/>
      <c r="G7" s="81"/>
      <c r="H7" s="81"/>
    </row>
    <row r="8" spans="1:8" ht="15.95" customHeight="1" x14ac:dyDescent="0.25">
      <c r="A8" s="111" t="s">
        <v>1268</v>
      </c>
      <c r="B8" s="81"/>
      <c r="C8" s="111" t="s">
        <v>1269</v>
      </c>
      <c r="D8" s="81"/>
      <c r="E8" s="111" t="s">
        <v>1270</v>
      </c>
      <c r="F8" s="81"/>
      <c r="G8" s="111" t="s">
        <v>1271</v>
      </c>
      <c r="H8" s="81"/>
    </row>
    <row r="9" spans="1:8" ht="32.1" customHeight="1" x14ac:dyDescent="0.25">
      <c r="A9" s="112">
        <v>1</v>
      </c>
      <c r="B9" s="81"/>
      <c r="C9" s="110">
        <v>200000</v>
      </c>
      <c r="D9" s="81"/>
      <c r="E9" s="110">
        <v>86000</v>
      </c>
      <c r="F9" s="81"/>
      <c r="G9" s="112">
        <v>1</v>
      </c>
      <c r="H9" s="81"/>
    </row>
    <row r="10" spans="1:8" ht="14.1" customHeight="1" x14ac:dyDescent="0.25">
      <c r="A10" s="109" t="s">
        <v>1272</v>
      </c>
      <c r="B10" s="81"/>
      <c r="C10" s="109" t="s">
        <v>1273</v>
      </c>
      <c r="D10" s="81"/>
      <c r="E10" s="109" t="s">
        <v>1274</v>
      </c>
      <c r="F10" s="81"/>
      <c r="G10" s="109" t="s">
        <v>1275</v>
      </c>
      <c r="H10" s="81"/>
    </row>
    <row r="11" spans="1:8" x14ac:dyDescent="0.25">
      <c r="A11" s="87" t="s">
        <v>1276</v>
      </c>
      <c r="B11" s="81"/>
      <c r="C11" s="81"/>
      <c r="D11" s="81"/>
      <c r="E11" s="81"/>
      <c r="F11" s="81"/>
      <c r="G11" s="81"/>
      <c r="H11" s="81"/>
    </row>
    <row r="12" spans="1:8" ht="15.95" customHeight="1" x14ac:dyDescent="0.25">
      <c r="A12" s="111" t="s">
        <v>1277</v>
      </c>
      <c r="B12" s="81"/>
      <c r="C12" s="111" t="s">
        <v>1278</v>
      </c>
      <c r="D12" s="81"/>
      <c r="E12" s="111" t="s">
        <v>1279</v>
      </c>
      <c r="F12" s="81"/>
      <c r="G12" s="111" t="s">
        <v>1280</v>
      </c>
      <c r="H12" s="81"/>
    </row>
    <row r="13" spans="1:8" ht="32.1" customHeight="1" x14ac:dyDescent="0.25">
      <c r="A13" s="110">
        <v>114000</v>
      </c>
      <c r="B13" s="81"/>
      <c r="C13" s="110">
        <v>750</v>
      </c>
      <c r="D13" s="81"/>
      <c r="E13" s="110">
        <v>8000</v>
      </c>
      <c r="F13" s="81"/>
      <c r="G13" s="110">
        <v>15000</v>
      </c>
      <c r="H13" s="81"/>
    </row>
    <row r="14" spans="1:8" ht="14.1" customHeight="1" x14ac:dyDescent="0.25">
      <c r="A14" s="109" t="s">
        <v>1281</v>
      </c>
      <c r="B14" s="81"/>
      <c r="C14" s="109" t="s">
        <v>1282</v>
      </c>
      <c r="D14" s="81"/>
      <c r="E14" s="109" t="s">
        <v>1283</v>
      </c>
      <c r="F14" s="81"/>
      <c r="G14" s="109" t="s">
        <v>1284</v>
      </c>
      <c r="H14" s="81"/>
    </row>
    <row r="15" spans="1:8" x14ac:dyDescent="0.25">
      <c r="A15" s="87" t="s">
        <v>1285</v>
      </c>
      <c r="B15" s="81"/>
      <c r="C15" s="81"/>
      <c r="D15" s="81"/>
      <c r="E15" s="81"/>
      <c r="F15" s="81"/>
      <c r="G15" s="81"/>
      <c r="H15" s="81"/>
    </row>
    <row r="16" spans="1:8" ht="15.95" customHeight="1" x14ac:dyDescent="0.25">
      <c r="A16" s="111" t="s">
        <v>1025</v>
      </c>
      <c r="B16" s="81"/>
      <c r="C16" s="111" t="s">
        <v>1286</v>
      </c>
      <c r="D16" s="81"/>
      <c r="E16" s="111" t="s">
        <v>1287</v>
      </c>
      <c r="F16" s="81"/>
      <c r="G16" s="111" t="s">
        <v>1288</v>
      </c>
      <c r="H16" s="81"/>
    </row>
    <row r="17" spans="1:8" ht="32.1" customHeight="1" x14ac:dyDescent="0.25">
      <c r="A17" s="112" t="s">
        <v>1289</v>
      </c>
      <c r="B17" s="81"/>
      <c r="C17" s="112" t="s">
        <v>1290</v>
      </c>
      <c r="D17" s="81"/>
      <c r="E17" s="112" t="s">
        <v>1290</v>
      </c>
      <c r="F17" s="81"/>
      <c r="G17" s="110" t="s">
        <v>1289</v>
      </c>
      <c r="H17" s="81"/>
    </row>
    <row r="18" spans="1:8" ht="14.1" customHeight="1" x14ac:dyDescent="0.25">
      <c r="A18" s="109" t="s">
        <v>1291</v>
      </c>
      <c r="B18" s="81"/>
      <c r="C18" s="109" t="s">
        <v>70</v>
      </c>
      <c r="D18" s="81"/>
      <c r="E18" s="109" t="s">
        <v>70</v>
      </c>
      <c r="F18" s="81"/>
      <c r="G18" s="109" t="s">
        <v>1292</v>
      </c>
      <c r="H18" s="81"/>
    </row>
  </sheetData>
  <mergeCells count="53">
    <mergeCell ref="C5:D5"/>
    <mergeCell ref="E5:F5"/>
    <mergeCell ref="C14:D14"/>
    <mergeCell ref="A11:H11"/>
    <mergeCell ref="E14:F14"/>
    <mergeCell ref="C9:D9"/>
    <mergeCell ref="G13:H13"/>
    <mergeCell ref="A1:H1"/>
    <mergeCell ref="G8:H8"/>
    <mergeCell ref="E17:F17"/>
    <mergeCell ref="A6:B6"/>
    <mergeCell ref="E8:F8"/>
    <mergeCell ref="G17:H17"/>
    <mergeCell ref="C4:D4"/>
    <mergeCell ref="E4:F4"/>
    <mergeCell ref="A16:B16"/>
    <mergeCell ref="C10:D10"/>
    <mergeCell ref="C16:D16"/>
    <mergeCell ref="A7:H7"/>
    <mergeCell ref="E10:F10"/>
    <mergeCell ref="G10:H10"/>
    <mergeCell ref="E13:F13"/>
    <mergeCell ref="G6:H6"/>
    <mergeCell ref="A18:B18"/>
    <mergeCell ref="E9:F9"/>
    <mergeCell ref="G18:H18"/>
    <mergeCell ref="A12:B12"/>
    <mergeCell ref="C12:D12"/>
    <mergeCell ref="A17:B17"/>
    <mergeCell ref="C17:D17"/>
    <mergeCell ref="E16:F16"/>
    <mergeCell ref="G16:H16"/>
    <mergeCell ref="C18:D18"/>
    <mergeCell ref="E18:F18"/>
    <mergeCell ref="E12:F12"/>
    <mergeCell ref="G12:H12"/>
    <mergeCell ref="A15:H15"/>
    <mergeCell ref="A3:H3"/>
    <mergeCell ref="E6:F6"/>
    <mergeCell ref="A5:B5"/>
    <mergeCell ref="G5:H5"/>
    <mergeCell ref="A14:B14"/>
    <mergeCell ref="G14:H14"/>
    <mergeCell ref="A8:B8"/>
    <mergeCell ref="C8:D8"/>
    <mergeCell ref="A4:B4"/>
    <mergeCell ref="G4:H4"/>
    <mergeCell ref="A10:B10"/>
    <mergeCell ref="A13:B13"/>
    <mergeCell ref="C13:D13"/>
    <mergeCell ref="A9:B9"/>
    <mergeCell ref="G9:H9"/>
    <mergeCell ref="C6:D6"/>
  </mergeCell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4AF37"/>
  </sheetPr>
  <dimension ref="A1:G15"/>
  <sheetViews>
    <sheetView workbookViewId="0">
      <pane ySplit="3" topLeftCell="A4" activePane="bottomLeft" state="frozen"/>
      <selection pane="bottomLeft" sqref="A1:G1"/>
    </sheetView>
  </sheetViews>
  <sheetFormatPr defaultRowHeight="15" x14ac:dyDescent="0.25"/>
  <cols>
    <col min="1" max="1" width="14" customWidth="1"/>
    <col min="2" max="2" width="18" customWidth="1"/>
    <col min="3" max="5" width="14" customWidth="1"/>
    <col min="6" max="6" width="18" customWidth="1"/>
    <col min="7" max="7" width="28" customWidth="1"/>
  </cols>
  <sheetData>
    <row r="1" spans="1:7" ht="27.95" customHeight="1" x14ac:dyDescent="0.25">
      <c r="A1" s="84" t="s">
        <v>1293</v>
      </c>
      <c r="B1" s="81"/>
      <c r="C1" s="81"/>
      <c r="D1" s="81"/>
      <c r="E1" s="81"/>
      <c r="F1" s="81"/>
      <c r="G1" s="81"/>
    </row>
    <row r="2" spans="1:7" ht="6" customHeight="1" x14ac:dyDescent="0.25"/>
    <row r="3" spans="1:7" ht="25.5" x14ac:dyDescent="0.25">
      <c r="A3" s="1" t="s">
        <v>954</v>
      </c>
      <c r="B3" s="1" t="s">
        <v>1185</v>
      </c>
      <c r="C3" s="1" t="s">
        <v>356</v>
      </c>
      <c r="D3" s="1" t="s">
        <v>1294</v>
      </c>
      <c r="E3" s="1" t="s">
        <v>1188</v>
      </c>
      <c r="F3" s="1" t="s">
        <v>1189</v>
      </c>
      <c r="G3" s="1" t="s">
        <v>3</v>
      </c>
    </row>
    <row r="4" spans="1:7" x14ac:dyDescent="0.25">
      <c r="A4" s="2" t="s">
        <v>1295</v>
      </c>
      <c r="B4" s="18">
        <v>0</v>
      </c>
      <c r="C4" s="18">
        <v>0</v>
      </c>
      <c r="D4" s="18">
        <v>0</v>
      </c>
      <c r="E4" s="36">
        <f t="shared" ref="E4:E15" si="0">C4-D4</f>
        <v>0</v>
      </c>
      <c r="F4" s="36">
        <f t="shared" ref="F4:F15" si="1">B4+E4</f>
        <v>0</v>
      </c>
      <c r="G4" s="2" t="s">
        <v>1296</v>
      </c>
    </row>
    <row r="5" spans="1:7" x14ac:dyDescent="0.25">
      <c r="A5" s="4" t="s">
        <v>1297</v>
      </c>
      <c r="B5" s="75">
        <f t="shared" ref="B5:B15" si="2">F4</f>
        <v>0</v>
      </c>
      <c r="C5" s="19">
        <v>0</v>
      </c>
      <c r="D5" s="19">
        <v>0</v>
      </c>
      <c r="E5" s="35">
        <f t="shared" si="0"/>
        <v>0</v>
      </c>
      <c r="F5" s="35">
        <f t="shared" si="1"/>
        <v>0</v>
      </c>
      <c r="G5" s="4" t="s">
        <v>1296</v>
      </c>
    </row>
    <row r="6" spans="1:7" x14ac:dyDescent="0.25">
      <c r="A6" s="2" t="s">
        <v>1298</v>
      </c>
      <c r="B6" s="76">
        <f t="shared" si="2"/>
        <v>0</v>
      </c>
      <c r="C6" s="18">
        <v>0</v>
      </c>
      <c r="D6" s="18">
        <v>0</v>
      </c>
      <c r="E6" s="36">
        <f t="shared" si="0"/>
        <v>0</v>
      </c>
      <c r="F6" s="36">
        <f t="shared" si="1"/>
        <v>0</v>
      </c>
      <c r="G6" s="2" t="s">
        <v>1296</v>
      </c>
    </row>
    <row r="7" spans="1:7" x14ac:dyDescent="0.25">
      <c r="A7" s="4" t="s">
        <v>1299</v>
      </c>
      <c r="B7" s="75">
        <f t="shared" si="2"/>
        <v>0</v>
      </c>
      <c r="C7" s="19">
        <v>0</v>
      </c>
      <c r="D7" s="19">
        <v>0</v>
      </c>
      <c r="E7" s="35">
        <f t="shared" si="0"/>
        <v>0</v>
      </c>
      <c r="F7" s="35">
        <f t="shared" si="1"/>
        <v>0</v>
      </c>
      <c r="G7" s="4" t="s">
        <v>1296</v>
      </c>
    </row>
    <row r="8" spans="1:7" x14ac:dyDescent="0.25">
      <c r="A8" s="2" t="s">
        <v>962</v>
      </c>
      <c r="B8" s="76">
        <f t="shared" si="2"/>
        <v>0</v>
      </c>
      <c r="C8" s="18">
        <v>500</v>
      </c>
      <c r="D8" s="18">
        <v>11799</v>
      </c>
      <c r="E8" s="36">
        <f t="shared" si="0"/>
        <v>-11299</v>
      </c>
      <c r="F8" s="36">
        <f t="shared" si="1"/>
        <v>-11299</v>
      </c>
      <c r="G8" s="2" t="s">
        <v>1296</v>
      </c>
    </row>
    <row r="9" spans="1:7" x14ac:dyDescent="0.25">
      <c r="A9" s="4" t="s">
        <v>1300</v>
      </c>
      <c r="B9" s="75">
        <f t="shared" si="2"/>
        <v>-11299</v>
      </c>
      <c r="C9" s="19">
        <v>5000</v>
      </c>
      <c r="D9" s="19">
        <v>11799</v>
      </c>
      <c r="E9" s="35">
        <f t="shared" si="0"/>
        <v>-6799</v>
      </c>
      <c r="F9" s="35">
        <f t="shared" si="1"/>
        <v>-18098</v>
      </c>
      <c r="G9" s="4" t="s">
        <v>1301</v>
      </c>
    </row>
    <row r="10" spans="1:7" x14ac:dyDescent="0.25">
      <c r="A10" s="2" t="s">
        <v>1302</v>
      </c>
      <c r="B10" s="76">
        <f t="shared" si="2"/>
        <v>-18098</v>
      </c>
      <c r="C10" s="18">
        <v>5000</v>
      </c>
      <c r="D10" s="18">
        <v>11799</v>
      </c>
      <c r="E10" s="36">
        <f t="shared" si="0"/>
        <v>-6799</v>
      </c>
      <c r="F10" s="36">
        <f t="shared" si="1"/>
        <v>-24897</v>
      </c>
      <c r="G10" s="2" t="s">
        <v>1301</v>
      </c>
    </row>
    <row r="11" spans="1:7" x14ac:dyDescent="0.25">
      <c r="A11" s="4" t="s">
        <v>1303</v>
      </c>
      <c r="B11" s="75">
        <f t="shared" si="2"/>
        <v>-24897</v>
      </c>
      <c r="C11" s="19">
        <v>5000</v>
      </c>
      <c r="D11" s="19">
        <v>5000</v>
      </c>
      <c r="E11" s="35">
        <f t="shared" si="0"/>
        <v>0</v>
      </c>
      <c r="F11" s="35">
        <f t="shared" si="1"/>
        <v>-24897</v>
      </c>
      <c r="G11" s="4" t="s">
        <v>1301</v>
      </c>
    </row>
    <row r="12" spans="1:7" x14ac:dyDescent="0.25">
      <c r="A12" s="2" t="s">
        <v>1304</v>
      </c>
      <c r="B12" s="76">
        <f t="shared" si="2"/>
        <v>-24897</v>
      </c>
      <c r="C12" s="18">
        <v>5000</v>
      </c>
      <c r="D12" s="18">
        <v>5000</v>
      </c>
      <c r="E12" s="36">
        <f t="shared" si="0"/>
        <v>0</v>
      </c>
      <c r="F12" s="36">
        <f t="shared" si="1"/>
        <v>-24897</v>
      </c>
      <c r="G12" s="2" t="s">
        <v>1301</v>
      </c>
    </row>
    <row r="13" spans="1:7" x14ac:dyDescent="0.25">
      <c r="A13" s="4" t="s">
        <v>1305</v>
      </c>
      <c r="B13" s="75">
        <f t="shared" si="2"/>
        <v>-24897</v>
      </c>
      <c r="C13" s="19">
        <v>10000</v>
      </c>
      <c r="D13" s="19">
        <v>5000</v>
      </c>
      <c r="E13" s="35">
        <f t="shared" si="0"/>
        <v>5000</v>
      </c>
      <c r="F13" s="35">
        <f t="shared" si="1"/>
        <v>-19897</v>
      </c>
      <c r="G13" s="4" t="s">
        <v>1306</v>
      </c>
    </row>
    <row r="14" spans="1:7" x14ac:dyDescent="0.25">
      <c r="A14" s="2" t="s">
        <v>1307</v>
      </c>
      <c r="B14" s="76">
        <f t="shared" si="2"/>
        <v>-19897</v>
      </c>
      <c r="C14" s="18">
        <v>10000</v>
      </c>
      <c r="D14" s="18">
        <v>5000</v>
      </c>
      <c r="E14" s="36">
        <f t="shared" si="0"/>
        <v>5000</v>
      </c>
      <c r="F14" s="36">
        <f t="shared" si="1"/>
        <v>-14897</v>
      </c>
      <c r="G14" s="2" t="s">
        <v>1306</v>
      </c>
    </row>
    <row r="15" spans="1:7" x14ac:dyDescent="0.25">
      <c r="A15" s="4" t="s">
        <v>1308</v>
      </c>
      <c r="B15" s="75">
        <f t="shared" si="2"/>
        <v>-14897</v>
      </c>
      <c r="C15" s="19">
        <v>10000</v>
      </c>
      <c r="D15" s="19">
        <v>5000</v>
      </c>
      <c r="E15" s="35">
        <f t="shared" si="0"/>
        <v>5000</v>
      </c>
      <c r="F15" s="35">
        <f t="shared" si="1"/>
        <v>-9897</v>
      </c>
      <c r="G15" s="4" t="s">
        <v>1306</v>
      </c>
    </row>
  </sheetData>
  <mergeCells count="1">
    <mergeCell ref="A1:G1"/>
  </mergeCells>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4AF37"/>
  </sheetPr>
  <dimension ref="A1:I4"/>
  <sheetViews>
    <sheetView workbookViewId="0">
      <pane ySplit="3" topLeftCell="A4" activePane="bottomLeft" state="frozen"/>
      <selection pane="bottomLeft" sqref="A1:I1"/>
    </sheetView>
  </sheetViews>
  <sheetFormatPr defaultRowHeight="15" x14ac:dyDescent="0.25"/>
  <cols>
    <col min="1" max="1" width="14" customWidth="1"/>
    <col min="2" max="2" width="16" customWidth="1"/>
    <col min="3" max="3" width="18" customWidth="1"/>
    <col min="4" max="4" width="14" customWidth="1"/>
    <col min="5" max="5" width="16" customWidth="1"/>
    <col min="6" max="6" width="18" customWidth="1"/>
    <col min="7" max="7" width="16" customWidth="1"/>
    <col min="8" max="8" width="14" customWidth="1"/>
    <col min="9" max="9" width="35" customWidth="1"/>
  </cols>
  <sheetData>
    <row r="1" spans="1:9" ht="27.95" customHeight="1" x14ac:dyDescent="0.25">
      <c r="A1" s="84" t="s">
        <v>1309</v>
      </c>
      <c r="B1" s="81"/>
      <c r="C1" s="81"/>
      <c r="D1" s="81"/>
      <c r="E1" s="81"/>
      <c r="F1" s="81"/>
      <c r="G1" s="81"/>
      <c r="H1" s="81"/>
      <c r="I1" s="81"/>
    </row>
    <row r="2" spans="1:9" ht="6" customHeight="1" x14ac:dyDescent="0.25"/>
    <row r="3" spans="1:9" x14ac:dyDescent="0.25">
      <c r="A3" s="1" t="s">
        <v>460</v>
      </c>
      <c r="B3" s="1" t="s">
        <v>1310</v>
      </c>
      <c r="C3" s="1" t="s">
        <v>1311</v>
      </c>
      <c r="D3" s="1" t="s">
        <v>1312</v>
      </c>
      <c r="E3" s="1" t="s">
        <v>1313</v>
      </c>
      <c r="F3" s="1" t="s">
        <v>1314</v>
      </c>
      <c r="G3" s="1" t="s">
        <v>1315</v>
      </c>
      <c r="H3" s="1" t="s">
        <v>1316</v>
      </c>
      <c r="I3" s="1" t="s">
        <v>3</v>
      </c>
    </row>
    <row r="4" spans="1:9" x14ac:dyDescent="0.25">
      <c r="A4" s="3" t="s">
        <v>19</v>
      </c>
      <c r="B4" s="18">
        <v>17200</v>
      </c>
      <c r="C4" s="18">
        <v>200000</v>
      </c>
      <c r="D4" s="18">
        <v>0</v>
      </c>
      <c r="E4" s="36">
        <f>B4+C4+D4</f>
        <v>217200</v>
      </c>
      <c r="F4" s="18">
        <v>122299</v>
      </c>
      <c r="G4" s="36">
        <f>E4-F4</f>
        <v>94901</v>
      </c>
      <c r="H4" s="18">
        <v>0</v>
      </c>
      <c r="I4" s="2" t="s">
        <v>1317</v>
      </c>
    </row>
  </sheetData>
  <mergeCells count="1">
    <mergeCell ref="A1:I1"/>
  </mergeCell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4AF37"/>
  </sheetPr>
  <dimension ref="A1:J20"/>
  <sheetViews>
    <sheetView workbookViewId="0">
      <pane ySplit="3" topLeftCell="A4" activePane="bottomLeft" state="frozen"/>
      <selection pane="bottomLeft" sqref="A1:J1"/>
    </sheetView>
  </sheetViews>
  <sheetFormatPr defaultRowHeight="15" x14ac:dyDescent="0.25"/>
  <cols>
    <col min="1" max="1" width="28" customWidth="1"/>
    <col min="2" max="2" width="18" customWidth="1"/>
    <col min="3" max="3" width="16" customWidth="1"/>
    <col min="4" max="5" width="14" customWidth="1"/>
    <col min="6" max="7" width="12" customWidth="1"/>
    <col min="8" max="8" width="14" customWidth="1"/>
    <col min="9" max="9" width="18" customWidth="1"/>
    <col min="10" max="10" width="12" customWidth="1"/>
  </cols>
  <sheetData>
    <row r="1" spans="1:10" ht="27.95" customHeight="1" x14ac:dyDescent="0.25">
      <c r="A1" s="84" t="s">
        <v>1318</v>
      </c>
      <c r="B1" s="81"/>
      <c r="C1" s="81"/>
      <c r="D1" s="81"/>
      <c r="E1" s="81"/>
      <c r="F1" s="81"/>
      <c r="G1" s="81"/>
      <c r="H1" s="81"/>
      <c r="I1" s="81"/>
      <c r="J1" s="81"/>
    </row>
    <row r="3" spans="1:10" x14ac:dyDescent="0.25">
      <c r="A3" s="87" t="s">
        <v>1319</v>
      </c>
      <c r="B3" s="81"/>
      <c r="C3" s="81"/>
      <c r="D3" s="81"/>
      <c r="E3" s="81"/>
      <c r="F3" s="81"/>
      <c r="G3" s="81"/>
      <c r="H3" s="81"/>
      <c r="I3" s="81"/>
      <c r="J3" s="81"/>
    </row>
    <row r="4" spans="1:10" x14ac:dyDescent="0.25">
      <c r="A4" s="1" t="s">
        <v>716</v>
      </c>
      <c r="B4" s="1" t="s">
        <v>1173</v>
      </c>
      <c r="C4" s="1" t="s">
        <v>791</v>
      </c>
      <c r="D4" s="1" t="s">
        <v>338</v>
      </c>
      <c r="E4" s="1" t="s">
        <v>799</v>
      </c>
      <c r="F4" s="1" t="s">
        <v>800</v>
      </c>
      <c r="G4" s="1" t="s">
        <v>801</v>
      </c>
      <c r="H4" s="1" t="s">
        <v>1175</v>
      </c>
      <c r="I4" s="1" t="s">
        <v>35</v>
      </c>
      <c r="J4" s="1" t="s">
        <v>1177</v>
      </c>
    </row>
    <row r="5" spans="1:10" x14ac:dyDescent="0.25">
      <c r="A5" s="2" t="s">
        <v>70</v>
      </c>
      <c r="B5" s="18">
        <v>114000</v>
      </c>
      <c r="C5" s="18">
        <v>200000</v>
      </c>
      <c r="D5" s="36">
        <f>C5-B5-114000</f>
        <v>-28000</v>
      </c>
      <c r="E5" s="18">
        <v>0</v>
      </c>
      <c r="F5" s="79">
        <v>0</v>
      </c>
      <c r="G5" s="67">
        <v>0</v>
      </c>
      <c r="H5" s="18">
        <v>0</v>
      </c>
      <c r="I5" s="2" t="s">
        <v>808</v>
      </c>
      <c r="J5" s="2" t="s">
        <v>1320</v>
      </c>
    </row>
    <row r="7" spans="1:10" x14ac:dyDescent="0.25">
      <c r="A7" s="87" t="s">
        <v>1321</v>
      </c>
      <c r="B7" s="81"/>
      <c r="C7" s="81"/>
      <c r="D7" s="81"/>
      <c r="E7" s="81"/>
      <c r="F7" s="81"/>
      <c r="G7" s="81"/>
      <c r="H7" s="81"/>
      <c r="I7" s="81"/>
      <c r="J7" s="81"/>
    </row>
    <row r="8" spans="1:10" x14ac:dyDescent="0.25">
      <c r="A8" s="4" t="s">
        <v>355</v>
      </c>
      <c r="B8" s="19">
        <v>0</v>
      </c>
    </row>
    <row r="9" spans="1:10" x14ac:dyDescent="0.25">
      <c r="A9" s="2" t="s">
        <v>359</v>
      </c>
      <c r="B9" s="18">
        <v>0</v>
      </c>
    </row>
    <row r="10" spans="1:10" x14ac:dyDescent="0.25">
      <c r="A10" s="4" t="s">
        <v>608</v>
      </c>
      <c r="B10" s="19">
        <v>0</v>
      </c>
    </row>
    <row r="11" spans="1:10" x14ac:dyDescent="0.25">
      <c r="A11" s="2" t="s">
        <v>1322</v>
      </c>
      <c r="B11" s="18">
        <v>500</v>
      </c>
    </row>
    <row r="12" spans="1:10" x14ac:dyDescent="0.25">
      <c r="A12" s="20" t="s">
        <v>1323</v>
      </c>
      <c r="B12" s="33">
        <f>SUM(B8:B11)</f>
        <v>500</v>
      </c>
    </row>
    <row r="14" spans="1:10" x14ac:dyDescent="0.25">
      <c r="A14" s="94" t="s">
        <v>1324</v>
      </c>
      <c r="B14" s="81"/>
      <c r="C14" s="81"/>
      <c r="D14" s="81"/>
      <c r="E14" s="81"/>
      <c r="F14" s="81"/>
      <c r="G14" s="81"/>
      <c r="H14" s="81"/>
      <c r="I14" s="81"/>
      <c r="J14" s="81"/>
    </row>
    <row r="15" spans="1:10" x14ac:dyDescent="0.25">
      <c r="A15" s="2" t="s">
        <v>1325</v>
      </c>
      <c r="B15" s="3">
        <v>1</v>
      </c>
    </row>
    <row r="16" spans="1:10" x14ac:dyDescent="0.25">
      <c r="A16" s="4" t="s">
        <v>1326</v>
      </c>
      <c r="B16" s="5" t="s">
        <v>1327</v>
      </c>
    </row>
    <row r="17" spans="1:2" x14ac:dyDescent="0.25">
      <c r="A17" s="2" t="s">
        <v>1328</v>
      </c>
      <c r="B17" s="3" t="s">
        <v>1329</v>
      </c>
    </row>
    <row r="18" spans="1:2" x14ac:dyDescent="0.25">
      <c r="A18" s="4" t="s">
        <v>1330</v>
      </c>
      <c r="B18" s="5" t="s">
        <v>1331</v>
      </c>
    </row>
    <row r="19" spans="1:2" x14ac:dyDescent="0.25">
      <c r="A19" s="2" t="s">
        <v>1332</v>
      </c>
      <c r="B19" s="3" t="s">
        <v>1333</v>
      </c>
    </row>
    <row r="20" spans="1:2" x14ac:dyDescent="0.25">
      <c r="A20" s="4" t="s">
        <v>1334</v>
      </c>
      <c r="B20" s="5" t="s">
        <v>1335</v>
      </c>
    </row>
  </sheetData>
  <mergeCells count="4">
    <mergeCell ref="A1:J1"/>
    <mergeCell ref="A7:J7"/>
    <mergeCell ref="A14:J14"/>
    <mergeCell ref="A3:J3"/>
  </mergeCells>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4AF37"/>
  </sheetPr>
  <dimension ref="A1:F48"/>
  <sheetViews>
    <sheetView tabSelected="1" workbookViewId="0">
      <selection sqref="A1:F1"/>
    </sheetView>
  </sheetViews>
  <sheetFormatPr defaultRowHeight="15" x14ac:dyDescent="0.25"/>
  <cols>
    <col min="1" max="1" width="22" customWidth="1"/>
    <col min="2" max="2" width="20" customWidth="1"/>
    <col min="3" max="3" width="18" customWidth="1"/>
    <col min="4" max="4" width="16" customWidth="1"/>
    <col min="5" max="6" width="14" customWidth="1"/>
  </cols>
  <sheetData>
    <row r="1" spans="1:6" ht="27.95" customHeight="1" x14ac:dyDescent="0.25">
      <c r="A1" s="84" t="s">
        <v>1336</v>
      </c>
      <c r="B1" s="81"/>
      <c r="C1" s="81"/>
      <c r="D1" s="81"/>
      <c r="E1" s="81"/>
      <c r="F1" s="81"/>
    </row>
    <row r="2" spans="1:6" x14ac:dyDescent="0.25">
      <c r="A2" s="115" t="s">
        <v>1337</v>
      </c>
      <c r="B2" s="81"/>
      <c r="C2" s="81"/>
      <c r="D2" s="81"/>
      <c r="E2" s="81"/>
      <c r="F2" s="81"/>
    </row>
    <row r="4" spans="1:6" x14ac:dyDescent="0.25">
      <c r="A4" s="114" t="s">
        <v>1338</v>
      </c>
      <c r="B4" s="81"/>
      <c r="C4" s="81"/>
      <c r="D4" s="81"/>
      <c r="E4" s="81"/>
      <c r="F4" s="81"/>
    </row>
    <row r="5" spans="1:6" x14ac:dyDescent="0.25">
      <c r="A5" s="56" t="s">
        <v>1339</v>
      </c>
      <c r="B5" s="106" t="s">
        <v>1340</v>
      </c>
      <c r="C5" s="96"/>
      <c r="D5" s="96"/>
      <c r="E5" s="96"/>
      <c r="F5" s="96"/>
    </row>
    <row r="6" spans="1:6" x14ac:dyDescent="0.25">
      <c r="A6" s="55" t="s">
        <v>1341</v>
      </c>
      <c r="B6" s="108" t="s">
        <v>25</v>
      </c>
      <c r="C6" s="97"/>
      <c r="D6" s="97"/>
      <c r="E6" s="97"/>
      <c r="F6" s="97"/>
    </row>
    <row r="7" spans="1:6" x14ac:dyDescent="0.25">
      <c r="A7" s="56" t="s">
        <v>1342</v>
      </c>
      <c r="B7" s="106" t="s">
        <v>1343</v>
      </c>
      <c r="C7" s="96"/>
      <c r="D7" s="96"/>
      <c r="E7" s="96"/>
      <c r="F7" s="96"/>
    </row>
    <row r="8" spans="1:6" x14ac:dyDescent="0.25">
      <c r="A8" s="55" t="s">
        <v>1344</v>
      </c>
      <c r="B8" s="108" t="s">
        <v>1345</v>
      </c>
      <c r="C8" s="97"/>
      <c r="D8" s="97"/>
      <c r="E8" s="97"/>
      <c r="F8" s="97"/>
    </row>
    <row r="9" spans="1:6" x14ac:dyDescent="0.25">
      <c r="A9" s="56" t="s">
        <v>1346</v>
      </c>
      <c r="B9" s="106" t="s">
        <v>1347</v>
      </c>
      <c r="C9" s="96"/>
      <c r="D9" s="96"/>
      <c r="E9" s="96"/>
      <c r="F9" s="96"/>
    </row>
    <row r="11" spans="1:6" x14ac:dyDescent="0.25">
      <c r="A11" s="114" t="s">
        <v>1348</v>
      </c>
      <c r="B11" s="81"/>
      <c r="C11" s="81"/>
      <c r="D11" s="81"/>
      <c r="E11" s="81"/>
      <c r="F11" s="81"/>
    </row>
    <row r="12" spans="1:6" x14ac:dyDescent="0.25">
      <c r="A12" s="56" t="s">
        <v>1349</v>
      </c>
      <c r="B12" s="106" t="s">
        <v>1350</v>
      </c>
      <c r="C12" s="96"/>
      <c r="D12" s="96"/>
      <c r="E12" s="96"/>
      <c r="F12" s="96"/>
    </row>
    <row r="13" spans="1:6" x14ac:dyDescent="0.25">
      <c r="A13" s="55" t="s">
        <v>1351</v>
      </c>
      <c r="B13" s="108" t="s">
        <v>1352</v>
      </c>
      <c r="C13" s="97"/>
      <c r="D13" s="97"/>
      <c r="E13" s="97"/>
      <c r="F13" s="97"/>
    </row>
    <row r="14" spans="1:6" x14ac:dyDescent="0.25">
      <c r="A14" s="56" t="s">
        <v>1353</v>
      </c>
      <c r="B14" s="106" t="s">
        <v>1354</v>
      </c>
      <c r="C14" s="96"/>
      <c r="D14" s="96"/>
      <c r="E14" s="96"/>
      <c r="F14" s="96"/>
    </row>
    <row r="15" spans="1:6" x14ac:dyDescent="0.25">
      <c r="A15" s="55" t="s">
        <v>1355</v>
      </c>
      <c r="B15" s="108" t="s">
        <v>1356</v>
      </c>
      <c r="C15" s="97"/>
      <c r="D15" s="97"/>
      <c r="E15" s="97"/>
      <c r="F15" s="97"/>
    </row>
    <row r="16" spans="1:6" x14ac:dyDescent="0.25">
      <c r="A16" s="56" t="s">
        <v>1357</v>
      </c>
      <c r="B16" s="106" t="s">
        <v>1358</v>
      </c>
      <c r="C16" s="96"/>
      <c r="D16" s="96"/>
      <c r="E16" s="96"/>
      <c r="F16" s="96"/>
    </row>
    <row r="18" spans="1:6" x14ac:dyDescent="0.25">
      <c r="A18" s="114" t="s">
        <v>1359</v>
      </c>
      <c r="B18" s="81"/>
      <c r="C18" s="81"/>
      <c r="D18" s="81"/>
      <c r="E18" s="81"/>
      <c r="F18" s="81"/>
    </row>
    <row r="19" spans="1:6" x14ac:dyDescent="0.25">
      <c r="A19" s="56" t="s">
        <v>1360</v>
      </c>
      <c r="B19" s="106" t="s">
        <v>1361</v>
      </c>
      <c r="C19" s="96"/>
      <c r="D19" s="96"/>
      <c r="E19" s="96"/>
      <c r="F19" s="96"/>
    </row>
    <row r="20" spans="1:6" x14ac:dyDescent="0.25">
      <c r="A20" s="55" t="s">
        <v>1362</v>
      </c>
      <c r="B20" s="108" t="s">
        <v>1363</v>
      </c>
      <c r="C20" s="97"/>
      <c r="D20" s="97"/>
      <c r="E20" s="97"/>
      <c r="F20" s="97"/>
    </row>
    <row r="21" spans="1:6" x14ac:dyDescent="0.25">
      <c r="A21" s="56" t="s">
        <v>1364</v>
      </c>
      <c r="B21" s="106" t="s">
        <v>1365</v>
      </c>
      <c r="C21" s="96"/>
      <c r="D21" s="96"/>
      <c r="E21" s="96"/>
      <c r="F21" s="96"/>
    </row>
    <row r="22" spans="1:6" x14ac:dyDescent="0.25">
      <c r="A22" s="55" t="s">
        <v>1366</v>
      </c>
      <c r="B22" s="108" t="s">
        <v>1367</v>
      </c>
      <c r="C22" s="97"/>
      <c r="D22" s="97"/>
      <c r="E22" s="97"/>
      <c r="F22" s="97"/>
    </row>
    <row r="24" spans="1:6" x14ac:dyDescent="0.25">
      <c r="A24" s="114" t="s">
        <v>1368</v>
      </c>
      <c r="B24" s="81"/>
      <c r="C24" s="81"/>
      <c r="D24" s="81"/>
      <c r="E24" s="81"/>
      <c r="F24" s="81"/>
    </row>
    <row r="25" spans="1:6" x14ac:dyDescent="0.25">
      <c r="A25" s="56" t="s">
        <v>1369</v>
      </c>
      <c r="B25" s="106" t="s">
        <v>1370</v>
      </c>
      <c r="C25" s="96"/>
      <c r="D25" s="96"/>
      <c r="E25" s="96"/>
      <c r="F25" s="96"/>
    </row>
    <row r="26" spans="1:6" x14ac:dyDescent="0.25">
      <c r="A26" s="55" t="s">
        <v>1371</v>
      </c>
      <c r="B26" s="108" t="s">
        <v>1372</v>
      </c>
      <c r="C26" s="97"/>
      <c r="D26" s="97"/>
      <c r="E26" s="97"/>
      <c r="F26" s="97"/>
    </row>
    <row r="27" spans="1:6" x14ac:dyDescent="0.25">
      <c r="A27" s="56" t="s">
        <v>1373</v>
      </c>
      <c r="B27" s="106" t="s">
        <v>1329</v>
      </c>
      <c r="C27" s="96"/>
      <c r="D27" s="96"/>
      <c r="E27" s="96"/>
      <c r="F27" s="96"/>
    </row>
    <row r="28" spans="1:6" x14ac:dyDescent="0.25">
      <c r="A28" s="55" t="s">
        <v>1374</v>
      </c>
      <c r="B28" s="108" t="s">
        <v>1375</v>
      </c>
      <c r="C28" s="97"/>
      <c r="D28" s="97"/>
      <c r="E28" s="97"/>
      <c r="F28" s="97"/>
    </row>
    <row r="29" spans="1:6" x14ac:dyDescent="0.25">
      <c r="A29" s="56" t="s">
        <v>1376</v>
      </c>
      <c r="B29" s="106" t="s">
        <v>1377</v>
      </c>
      <c r="C29" s="96"/>
      <c r="D29" s="96"/>
      <c r="E29" s="96"/>
      <c r="F29" s="96"/>
    </row>
    <row r="30" spans="1:6" x14ac:dyDescent="0.25">
      <c r="A30" s="55" t="s">
        <v>1378</v>
      </c>
      <c r="B30" s="108" t="s">
        <v>1327</v>
      </c>
      <c r="C30" s="97"/>
      <c r="D30" s="97"/>
      <c r="E30" s="97"/>
      <c r="F30" s="97"/>
    </row>
    <row r="31" spans="1:6" x14ac:dyDescent="0.25">
      <c r="A31" s="56" t="s">
        <v>1379</v>
      </c>
      <c r="B31" s="106" t="s">
        <v>1380</v>
      </c>
      <c r="C31" s="96"/>
      <c r="D31" s="96"/>
      <c r="E31" s="96"/>
      <c r="F31" s="96"/>
    </row>
    <row r="33" spans="1:6" x14ac:dyDescent="0.25">
      <c r="A33" s="114" t="s">
        <v>1381</v>
      </c>
      <c r="B33" s="81"/>
      <c r="C33" s="81"/>
      <c r="D33" s="81"/>
      <c r="E33" s="81"/>
      <c r="F33" s="81"/>
    </row>
    <row r="34" spans="1:6" x14ac:dyDescent="0.25">
      <c r="A34" s="56" t="s">
        <v>1382</v>
      </c>
      <c r="B34" s="106" t="s">
        <v>1383</v>
      </c>
      <c r="C34" s="96"/>
      <c r="D34" s="96"/>
      <c r="E34" s="96"/>
      <c r="F34" s="96"/>
    </row>
    <row r="35" spans="1:6" x14ac:dyDescent="0.25">
      <c r="A35" s="55" t="s">
        <v>1384</v>
      </c>
      <c r="B35" s="108" t="s">
        <v>1385</v>
      </c>
      <c r="C35" s="97"/>
      <c r="D35" s="97"/>
      <c r="E35" s="97"/>
      <c r="F35" s="97"/>
    </row>
    <row r="36" spans="1:6" x14ac:dyDescent="0.25">
      <c r="A36" s="56" t="s">
        <v>1386</v>
      </c>
      <c r="B36" s="106" t="s">
        <v>1387</v>
      </c>
      <c r="C36" s="96"/>
      <c r="D36" s="96"/>
      <c r="E36" s="96"/>
      <c r="F36" s="96"/>
    </row>
    <row r="37" spans="1:6" x14ac:dyDescent="0.25">
      <c r="A37" s="55" t="s">
        <v>1388</v>
      </c>
      <c r="B37" s="108" t="s">
        <v>1389</v>
      </c>
      <c r="C37" s="97"/>
      <c r="D37" s="97"/>
      <c r="E37" s="97"/>
      <c r="F37" s="97"/>
    </row>
    <row r="40" spans="1:6" x14ac:dyDescent="0.25">
      <c r="A40" s="114" t="s">
        <v>1390</v>
      </c>
      <c r="B40" s="81"/>
      <c r="C40" s="81"/>
      <c r="D40" s="81"/>
      <c r="E40" s="81"/>
      <c r="F40" s="81"/>
    </row>
    <row r="41" spans="1:6" x14ac:dyDescent="0.25">
      <c r="A41" s="56" t="s">
        <v>1391</v>
      </c>
      <c r="B41" s="106" t="s">
        <v>1392</v>
      </c>
      <c r="C41" s="96"/>
      <c r="D41" s="96"/>
      <c r="E41" s="96"/>
      <c r="F41" s="96"/>
    </row>
    <row r="42" spans="1:6" x14ac:dyDescent="0.25">
      <c r="A42" s="55" t="s">
        <v>1393</v>
      </c>
      <c r="B42" s="108" t="s">
        <v>1394</v>
      </c>
      <c r="C42" s="97"/>
      <c r="D42" s="97"/>
      <c r="E42" s="97"/>
      <c r="F42" s="97"/>
    </row>
    <row r="43" spans="1:6" x14ac:dyDescent="0.25">
      <c r="A43" s="56" t="s">
        <v>1395</v>
      </c>
      <c r="B43" s="106" t="s">
        <v>1396</v>
      </c>
      <c r="C43" s="96"/>
      <c r="D43" s="96"/>
      <c r="E43" s="96"/>
      <c r="F43" s="96"/>
    </row>
    <row r="44" spans="1:6" x14ac:dyDescent="0.25">
      <c r="A44" s="55" t="s">
        <v>1397</v>
      </c>
      <c r="B44" s="108" t="s">
        <v>1398</v>
      </c>
      <c r="C44" s="97"/>
      <c r="D44" s="97"/>
      <c r="E44" s="97"/>
      <c r="F44" s="97"/>
    </row>
    <row r="48" spans="1:6" x14ac:dyDescent="0.25">
      <c r="A48" s="113" t="s">
        <v>1399</v>
      </c>
      <c r="B48" s="81"/>
      <c r="C48" s="81"/>
      <c r="D48" s="81"/>
      <c r="E48" s="81"/>
      <c r="F48" s="81"/>
    </row>
  </sheetData>
  <mergeCells count="38">
    <mergeCell ref="B43:F43"/>
    <mergeCell ref="B42:F42"/>
    <mergeCell ref="A4:F4"/>
    <mergeCell ref="B14:F14"/>
    <mergeCell ref="B8:F8"/>
    <mergeCell ref="B13:F13"/>
    <mergeCell ref="B6:F6"/>
    <mergeCell ref="B7:F7"/>
    <mergeCell ref="B16:F16"/>
    <mergeCell ref="B25:F25"/>
    <mergeCell ref="B31:F31"/>
    <mergeCell ref="A18:F18"/>
    <mergeCell ref="B22:F22"/>
    <mergeCell ref="B27:F27"/>
    <mergeCell ref="B21:F21"/>
    <mergeCell ref="A48:F48"/>
    <mergeCell ref="B9:F9"/>
    <mergeCell ref="A24:F24"/>
    <mergeCell ref="B30:F30"/>
    <mergeCell ref="A11:F11"/>
    <mergeCell ref="B20:F20"/>
    <mergeCell ref="B15:F15"/>
    <mergeCell ref="B44:F44"/>
    <mergeCell ref="B29:F29"/>
    <mergeCell ref="B34:F34"/>
    <mergeCell ref="B28:F28"/>
    <mergeCell ref="B19:F19"/>
    <mergeCell ref="B37:F37"/>
    <mergeCell ref="A40:F40"/>
    <mergeCell ref="A33:F33"/>
    <mergeCell ref="B12:F12"/>
    <mergeCell ref="A1:F1"/>
    <mergeCell ref="B5:F5"/>
    <mergeCell ref="B36:F36"/>
    <mergeCell ref="B26:F26"/>
    <mergeCell ref="B41:F41"/>
    <mergeCell ref="B35:F35"/>
    <mergeCell ref="A2:F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53</vt:i4>
      </vt:variant>
    </vt:vector>
  </HeadingPairs>
  <TitlesOfParts>
    <vt:vector size="53" baseType="lpstr">
      <vt:lpstr>01_SYSTEM_SETTINGS</vt:lpstr>
      <vt:lpstr>02_USERS_ROLES</vt:lpstr>
      <vt:lpstr>03_AUDIT_LOG</vt:lpstr>
      <vt:lpstr>04_ENTITY_MANAGER</vt:lpstr>
      <vt:lpstr>05_DASHBOARD_HOME</vt:lpstr>
      <vt:lpstr>10_CHART_OF_ACCOUNTS</vt:lpstr>
      <vt:lpstr>11_JOURNAL_ENTRIES</vt:lpstr>
      <vt:lpstr>12_GENERAL_LEDGER</vt:lpstr>
      <vt:lpstr>13_TRIAL_BALANCE</vt:lpstr>
      <vt:lpstr>14_BALANCE_SHEET</vt:lpstr>
      <vt:lpstr>15_INCOME_STATEMENT</vt:lpstr>
      <vt:lpstr>16_CASH_FLOW</vt:lpstr>
      <vt:lpstr>17_BUDGETS</vt:lpstr>
      <vt:lpstr>18_BUDGET_VS_ACTUAL</vt:lpstr>
      <vt:lpstr>20_BANK_ACCOUNTS</vt:lpstr>
      <vt:lpstr>21_BANK_TRANSACTIONS</vt:lpstr>
      <vt:lpstr>22_RECONCILIATION</vt:lpstr>
      <vt:lpstr>23_CREDIT_CARDS</vt:lpstr>
      <vt:lpstr>30_CUSTOMERS</vt:lpstr>
      <vt:lpstr>31_INVOICES</vt:lpstr>
      <vt:lpstr>32_RECEIVABLES</vt:lpstr>
      <vt:lpstr>33_AGING_REPORT</vt:lpstr>
      <vt:lpstr>40_VENDORS</vt:lpstr>
      <vt:lpstr>41_BILLS</vt:lpstr>
      <vt:lpstr>42_PAYABLES</vt:lpstr>
      <vt:lpstr>43_AGING_PAYABLES</vt:lpstr>
      <vt:lpstr>50_PROPERTY_MASTER</vt:lpstr>
      <vt:lpstr>51_ACQUISITIONS</vt:lpstr>
      <vt:lpstr>52_REHAB_ENGINE</vt:lpstr>
      <vt:lpstr>53_DRAWS</vt:lpstr>
      <vt:lpstr>54_HOLDING_COSTS</vt:lpstr>
      <vt:lpstr>55_RENTS</vt:lpstr>
      <vt:lpstr>56_CAPEX</vt:lpstr>
      <vt:lpstr>57_DISPOSITIONS</vt:lpstr>
      <vt:lpstr>60_WHOLESALE_ANALYZER</vt:lpstr>
      <vt:lpstr>61_FLIP_ANALYZER</vt:lpstr>
      <vt:lpstr>62_BRRR_ANALYZER</vt:lpstr>
      <vt:lpstr>63_DEVELOPMENT_ANALYZER</vt:lpstr>
      <vt:lpstr>64_LAND_ANALYZER</vt:lpstr>
      <vt:lpstr>70_INVESTORS</vt:lpstr>
      <vt:lpstr>71_CAPITAL_STACK</vt:lpstr>
      <vt:lpstr>72_WATERFALL</vt:lpstr>
      <vt:lpstr>73_DISTRIBUTIONS</vt:lpstr>
      <vt:lpstr>74_INVESTOR_REPORTS</vt:lpstr>
      <vt:lpstr>80_AI_DEAL_SCORING</vt:lpstr>
      <vt:lpstr>81_AI_FORECASTING</vt:lpstr>
      <vt:lpstr>82_AI_ANOMALIES</vt:lpstr>
      <vt:lpstr>83_AI_ASSISTANT</vt:lpstr>
      <vt:lpstr>90_KPI_DASHBOARD</vt:lpstr>
      <vt:lpstr>91_CASH_FORECAST</vt:lpstr>
      <vt:lpstr>92_NET_WORTH_TRACKER</vt:lpstr>
      <vt:lpstr>93_PORTFOLIO_ANALYTICS</vt:lpstr>
      <vt:lpstr>94_EXECUTIVE_REPORT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Shylow Thompson</cp:lastModifiedBy>
  <dcterms:created xsi:type="dcterms:W3CDTF">2026-05-29T20:35:22Z</dcterms:created>
  <dcterms:modified xsi:type="dcterms:W3CDTF">2026-06-02T13:42:09Z</dcterms:modified>
</cp:coreProperties>
</file>